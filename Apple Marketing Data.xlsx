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4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5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6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8D93067-4AFF-42BD-9A1F-C2847CC345CE}" xr6:coauthVersionLast="47" xr6:coauthVersionMax="47" xr10:uidLastSave="{00000000-0000-0000-0000-000000000000}"/>
  <bookViews>
    <workbookView xWindow="-110" yWindow="-110" windowWidth="19420" windowHeight="10420" activeTab="24" xr2:uid="{00000000-000D-0000-FFFF-FFFF00000000}"/>
  </bookViews>
  <sheets>
    <sheet name="Posts" sheetId="1" r:id="rId1"/>
    <sheet name="Engagement Summary" sheetId="2" r:id="rId2"/>
    <sheet name="Campaign Metadata" sheetId="3" r:id="rId3"/>
    <sheet name="Top 10 posts with hih engageme" sheetId="6" r:id="rId4"/>
    <sheet name="Total likes,Share and comment" sheetId="7" r:id="rId5"/>
    <sheet name="Average clicks per post by Hash" sheetId="8" r:id="rId6"/>
    <sheet name="Platform with highest engagemen" sheetId="9" r:id="rId7"/>
    <sheet name="Folower Growth rate across plat" sheetId="13" r:id="rId8"/>
    <sheet name="Sum of Engagement Rate" sheetId="17" r:id="rId9"/>
    <sheet name="Comparative analysis" sheetId="18" r:id="rId10"/>
    <sheet name="Engagement vs ad spend as per p" sheetId="16" r:id="rId11"/>
    <sheet name="Frequently used hashtags" sheetId="20" r:id="rId12"/>
    <sheet name="average performance of posts" sheetId="21" r:id="rId13"/>
    <sheet name="Content Performance" sheetId="22" r:id="rId14"/>
    <sheet name="content type performs best" sheetId="24" r:id="rId15"/>
    <sheet name="content type performs best cont" sheetId="23" r:id="rId16"/>
    <sheet name="Total &amp; Average Impressions" sheetId="26" r:id="rId17"/>
    <sheet name="Analyse cost efficiency" sheetId="19" r:id="rId18"/>
    <sheet name="Find out highest ROI" sheetId="30" r:id="rId19"/>
    <sheet name="Weekly folower growth platform" sheetId="35" r:id="rId20"/>
    <sheet name="The peak of week of follower ga" sheetId="36" r:id="rId21"/>
    <sheet name="Use moving averages to smooth " sheetId="38" r:id="rId22"/>
    <sheet name="ads spend vs follower grow scat" sheetId="41" r:id="rId23"/>
    <sheet name="Sum of ROI" sheetId="27" r:id="rId24"/>
    <sheet name="Dum of total folowers and unfol" sheetId="31" r:id="rId25"/>
    <sheet name="Pivot Table" sheetId="40" r:id="rId26"/>
  </sheets>
  <definedNames>
    <definedName name="_xlnm._FilterDatabase" localSheetId="0" hidden="1">Posts!$A$1:$P$301</definedName>
  </definedNames>
  <calcPr calcId="191029"/>
  <pivotCaches>
    <pivotCache cacheId="0" r:id="rId27"/>
    <pivotCache cacheId="1" r:id="rId28"/>
    <pivotCache cacheId="2" r:id="rId29"/>
    <pivotCache cacheId="3" r:id="rId30"/>
    <pivotCache cacheId="4" r:id="rId31"/>
    <pivotCache cacheId="5" r:id="rId32"/>
    <pivotCache cacheId="6" r:id="rId33"/>
    <pivotCache cacheId="7" r:id="rId34"/>
    <pivotCache cacheId="8" r:id="rId3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36" l="1"/>
  <c r="F18" i="36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" i="2"/>
  <c r="M3" i="3" a="1"/>
  <c r="M3" i="3" s="1"/>
  <c r="M4" i="3" a="1"/>
  <c r="M4" i="3" s="1"/>
  <c r="M5" i="3" a="1"/>
  <c r="M5" i="3" s="1"/>
  <c r="M6" i="3" a="1"/>
  <c r="M6" i="3" s="1"/>
  <c r="M2" i="3" a="1"/>
  <c r="M2" i="3" s="1"/>
  <c r="D3" i="30"/>
  <c r="D4" i="30"/>
  <c r="D5" i="30"/>
  <c r="D6" i="30"/>
  <c r="D2" i="30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" i="2"/>
  <c r="J6" i="3"/>
  <c r="J3" i="3"/>
  <c r="J4" i="3"/>
  <c r="J5" i="3"/>
  <c r="J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<sst xmlns="http://schemas.openxmlformats.org/spreadsheetml/2006/main" count="3811" uniqueCount="623">
  <si>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</si>
  <si>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</si>
  <si>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</si>
  <si>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</si>
  <si>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</si>
  <si>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</si>
  <si>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</si>
  <si>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</si>
  <si>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</si>
  <si>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</si>
  <si>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</si>
  <si>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</si>
  <si>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</si>
  <si>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</si>
  <si>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</si>
  <si>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</si>
  <si>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</si>
  <si>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</si>
  <si>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</si>
  <si>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</si>
  <si>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</si>
  <si>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</si>
  <si>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</si>
  <si>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</si>
  <si>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</si>
  <si>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</si>
  <si>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</si>
  <si>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</si>
  <si>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</si>
  <si>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</si>
  <si>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</si>
  <si>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</si>
  <si>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</si>
  <si>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</si>
  <si>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</si>
  <si>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</si>
  <si>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</si>
  <si>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</si>
  <si>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</si>
  <si>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</si>
  <si>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</si>
  <si>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</si>
  <si>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</si>
  <si>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</si>
  <si>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</si>
  <si>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</si>
  <si>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</si>
  <si>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</si>
  <si>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</si>
  <si>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</si>
  <si>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</si>
  <si>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</si>
  <si>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</si>
  <si>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</si>
  <si>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</si>
  <si>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</si>
  <si>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</si>
  <si>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</si>
  <si>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</si>
  <si>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</si>
  <si>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</si>
  <si>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</si>
  <si>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</si>
  <si>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</si>
  <si>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</si>
  <si>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</si>
  <si>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</si>
  <si>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</si>
  <si>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</si>
  <si>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</si>
  <si>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</si>
  <si>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</si>
  <si>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</si>
  <si>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</si>
  <si>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</si>
  <si>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</si>
  <si>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</si>
  <si>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</si>
  <si>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</si>
  <si>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</si>
  <si>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</si>
  <si>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</si>
  <si>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</si>
  <si>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</si>
  <si>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</si>
  <si>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</si>
  <si>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</si>
  <si>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</si>
  <si>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</si>
  <si>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</si>
  <si>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</si>
  <si>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</si>
  <si>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</si>
  <si>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</si>
  <si>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</si>
  <si>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</si>
  <si>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</si>
  <si>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</si>
  <si>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</si>
  <si>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</si>
  <si>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</si>
  <si>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</si>
  <si>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</si>
  <si>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</si>
  <si>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</si>
  <si>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</si>
  <si>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</si>
  <si>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</si>
  <si>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</si>
  <si>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</si>
  <si>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</si>
  <si>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</si>
  <si>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</si>
  <si>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</si>
  <si>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</si>
  <si>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</si>
  <si>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</si>
  <si>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</si>
  <si>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</si>
  <si>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</si>
  <si>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</si>
  <si>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</si>
  <si>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</si>
  <si>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</si>
  <si>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</si>
  <si>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</si>
  <si>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</si>
  <si>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</si>
  <si>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</si>
  <si>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</si>
  <si>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</si>
  <si>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</si>
  <si>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</si>
  <si>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</si>
  <si>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</si>
  <si>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</si>
  <si>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</si>
  <si>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</si>
  <si>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</si>
  <si>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</si>
  <si>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</si>
  <si>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</si>
  <si>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</si>
  <si>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</si>
  <si>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</si>
  <si>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</si>
  <si>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</si>
  <si>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</si>
  <si>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</si>
  <si>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</si>
  <si>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</si>
  <si>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</si>
  <si>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</si>
  <si>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</si>
  <si>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</si>
  <si>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</si>
  <si>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</si>
  <si>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</si>
  <si>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</si>
  <si>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</si>
  <si>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</si>
  <si>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</si>
  <si>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</si>
  <si>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</si>
  <si>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</si>
  <si>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</si>
  <si>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</si>
  <si>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</si>
  <si>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</si>
  <si>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</si>
  <si>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</si>
  <si>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</si>
  <si>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</si>
  <si>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</si>
  <si>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</si>
  <si>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</si>
  <si>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</si>
  <si>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</si>
  <si>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</si>
  <si>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</si>
  <si>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</si>
  <si>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</si>
  <si>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</si>
  <si>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</si>
  <si>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</si>
  <si>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</si>
  <si>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</si>
  <si>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</si>
  <si>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</si>
  <si>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</si>
  <si>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</si>
  <si>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</si>
  <si>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</si>
  <si>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</si>
  <si>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</si>
  <si>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</si>
  <si>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</si>
  <si>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</si>
  <si>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</si>
  <si>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</si>
  <si>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</si>
  <si>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</si>
  <si>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</si>
  <si>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</si>
  <si>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</si>
  <si>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</si>
  <si>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</si>
  <si>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</si>
  <si>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</si>
  <si>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</si>
  <si>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</si>
  <si>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</si>
  <si>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</si>
  <si>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</si>
  <si>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</si>
  <si>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</si>
  <si>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</si>
  <si>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</si>
  <si>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</si>
  <si>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</si>
  <si>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</si>
  <si>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</si>
  <si>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</si>
  <si>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</si>
  <si>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</si>
  <si>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</si>
  <si>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</si>
  <si>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</si>
  <si>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</si>
  <si>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</si>
  <si>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</si>
  <si>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</si>
  <si>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</si>
  <si>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</si>
  <si>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</si>
  <si>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</si>
  <si>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</si>
  <si>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</si>
  <si>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</si>
  <si>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</si>
  <si>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</si>
  <si>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</si>
  <si>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</si>
  <si>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</si>
  <si>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</si>
  <si>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</si>
  <si>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</si>
  <si>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</si>
  <si>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</si>
  <si>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</si>
  <si>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</si>
  <si>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</si>
  <si>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</si>
  <si>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</si>
  <si>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</si>
  <si>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</si>
  <si>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</si>
  <si>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</si>
  <si>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</si>
  <si>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</si>
  <si>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</si>
  <si>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</si>
  <si>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</si>
  <si>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</si>
  <si>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</si>
  <si>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</si>
  <si>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</si>
  <si>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</si>
  <si>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</si>
  <si>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</si>
  <si>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</si>
  <si>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</si>
  <si>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</si>
  <si>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</si>
  <si>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</si>
  <si>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</si>
  <si>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</si>
  <si>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</si>
  <si>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</si>
  <si>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</si>
  <si>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</si>
  <si>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</si>
  <si>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</si>
  <si>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</si>
  <si>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</si>
  <si>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</si>
  <si>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</si>
  <si>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</si>
  <si>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</si>
  <si>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</si>
  <si>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</si>
  <si>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</si>
  <si>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</si>
  <si>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</si>
  <si>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</si>
  <si>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</si>
  <si>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</si>
  <si>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</si>
  <si>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</si>
  <si>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</si>
  <si>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</si>
  <si>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</si>
  <si>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</si>
  <si>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</si>
  <si>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</si>
  <si>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</si>
  <si>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</si>
  <si>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</si>
  <si>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</si>
  <si>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</si>
  <si>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</si>
  <si>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</si>
  <si>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</si>
  <si>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</si>
  <si>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</si>
  <si>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</si>
  <si>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</si>
  <si>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</si>
  <si>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</si>
  <si>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</si>
  <si>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</si>
  <si>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</si>
  <si>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</si>
  <si>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</si>
  <si>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</si>
  <si>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</si>
  <si>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</si>
  <si>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</si>
  <si>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</si>
  <si>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</si>
  <si>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</si>
  <si>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</si>
  <si>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</si>
  <si>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</si>
  <si>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</si>
  <si>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</si>
  <si>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</si>
  <si>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</si>
  <si>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</si>
  <si>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</si>
  <si>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</si>
  <si>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</si>
  <si>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</si>
  <si>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</si>
  <si>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</si>
  <si>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</si>
  <si>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</si>
  <si>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</si>
  <si>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</si>
  <si>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</si>
  <si>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</si>
  <si>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</si>
  <si>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</si>
  <si>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</si>
  <si>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</si>
  <si>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</si>
  <si>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</si>
  <si>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</si>
  <si>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</si>
  <si>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</si>
  <si>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</si>
  <si>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</si>
  <si>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</si>
  <si>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</si>
  <si>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</si>
  <si>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</si>
  <si>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</si>
  <si>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</si>
  <si>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</si>
  <si>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</si>
  <si>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</si>
  <si>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</si>
  <si>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</si>
  <si>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</si>
  <si>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</si>
  <si>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</si>
  <si>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</si>
  <si>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</si>
  <si>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</si>
  <si>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</si>
  <si>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</si>
  <si>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</si>
  <si>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</si>
  <si>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</si>
  <si>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</si>
  <si>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</si>
  <si>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</si>
  <si>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</si>
  <si>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</si>
  <si>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</si>
  <si>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</si>
  <si>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</si>
  <si>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</si>
  <si>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</si>
  <si>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</si>
  <si>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</si>
  <si>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</si>
  <si>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</si>
  <si>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</si>
  <si>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</si>
  <si>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</si>
  <si>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</si>
  <si>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</si>
  <si>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</si>
  <si>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</si>
  <si>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</si>
  <si>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</si>
  <si>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</si>
  <si>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</si>
  <si>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</si>
  <si>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</si>
  <si>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</si>
  <si>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</si>
  <si>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</si>
  <si>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</si>
  <si>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</si>
  <si>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</si>
  <si>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</si>
  <si>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</si>
  <si>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</si>
  <si>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</si>
  <si>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</si>
  <si>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</si>
  <si>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</si>
  <si>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</si>
  <si>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</si>
  <si>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</si>
  <si>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</si>
  <si>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</si>
  <si>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</si>
  <si>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</si>
  <si>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</si>
  <si>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</si>
  <si>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</si>
  <si>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</si>
  <si>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</si>
  <si>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</si>
  <si>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</si>
  <si>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</si>
  <si>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</si>
  <si>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</si>
  <si>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</si>
  <si>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</si>
  <si>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</si>
  <si>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</si>
  <si>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</si>
  <si>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</si>
  <si>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</si>
  <si>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</si>
  <si>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</si>
  <si>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</si>
  <si>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</si>
  <si>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</si>
  <si>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</si>
  <si>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</si>
  <si>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</si>
  <si>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</si>
  <si>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</si>
  <si>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</si>
  <si>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</si>
  <si>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</si>
  <si>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</si>
  <si>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</si>
  <si>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</si>
  <si>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</si>
  <si>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</si>
  <si>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</si>
  <si>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</si>
  <si>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</si>
  <si>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</si>
  <si>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</si>
  <si>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</si>
  <si>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</si>
  <si>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</si>
  <si>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</si>
  <si>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</si>
  <si>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</si>
  <si>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</si>
  <si>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</si>
  <si>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</si>
  <si>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</si>
  <si>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</si>
  <si>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</si>
  <si>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</si>
  <si>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</si>
  <si>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</si>
  <si>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</si>
  <si>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</si>
  <si>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</si>
  <si>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</si>
  <si>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</si>
  <si>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</si>
  <si>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</si>
  <si>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</si>
  <si>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</si>
  <si>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</si>
  <si>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</si>
  <si>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</si>
  <si>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</si>
  <si>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</si>
  <si>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</si>
  <si>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</si>
  <si>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</si>
  <si>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</si>
  <si>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</si>
  <si>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</si>
  <si>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</si>
  <si>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</si>
  <si>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</si>
  <si>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</si>
  <si>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</si>
  <si>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</si>
  <si>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</si>
  <si>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</si>
  <si>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</si>
  <si>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</si>
  <si>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</si>
  <si>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</si>
  <si>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</si>
  <si>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</si>
  <si>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</si>
  <si>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</si>
  <si>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</si>
  <si>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</si>
  <si>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</si>
  <si>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</si>
  <si>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</si>
  <si>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</si>
  <si>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</si>
  <si>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</si>
  <si>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</si>
  <si>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</si>
  <si>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</si>
  <si>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</si>
  <si>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</si>
  <si>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</si>
  <si>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</si>
  <si>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</si>
  <si>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</si>
  <si>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</si>
  <si>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</si>
  <si>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</si>
  <si>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</si>
  <si>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 xml:space="preserve">AppleWatchUltra2 </t>
  </si>
  <si>
    <t>HealthTech</t>
  </si>
  <si>
    <t>ShotOniPhone</t>
  </si>
  <si>
    <t>MacBookProM3</t>
  </si>
  <si>
    <t>AppleWatchUltra2  HealthTech</t>
  </si>
  <si>
    <t>MacBookAirM3  AppleInnovation</t>
  </si>
  <si>
    <t>AppleDesign  Innovation</t>
  </si>
  <si>
    <t>AppleEvent  iPadPro</t>
  </si>
  <si>
    <t>AppleMusic  AppleLifestyle</t>
  </si>
  <si>
    <t>AppleWatch  Health</t>
  </si>
  <si>
    <t>iPhone16Launch  AppleEvent</t>
  </si>
  <si>
    <t>AppleEvent  iPhone16</t>
  </si>
  <si>
    <t>iPhonePhotography  ShotOniPhone</t>
  </si>
  <si>
    <t>Sustainability  AppleEarth</t>
  </si>
  <si>
    <t>Separate Hashtag</t>
  </si>
  <si>
    <t>Engagement Rate</t>
  </si>
  <si>
    <t>Row Labels</t>
  </si>
  <si>
    <t>Grand Total</t>
  </si>
  <si>
    <t>Engagement</t>
  </si>
  <si>
    <t>Sum of Engagement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</si>
  <si>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</si>
  <si>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</si>
  <si>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</si>
  <si>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</si>
  <si>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</si>
  <si>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</si>
  <si>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</si>
  <si>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Average of Clicks</t>
  </si>
  <si>
    <t>Instagram,Twitter and Youtube has highest engagement in Carsousel and Linkedin has highest engagement in Image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</si>
  <si>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</si>
  <si>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</si>
  <si>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</si>
  <si>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</si>
  <si>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</si>
  <si>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</si>
  <si>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</si>
  <si>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</si>
  <si>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</si>
  <si>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</si>
  <si>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</si>
  <si>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</si>
  <si>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</si>
  <si>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Sum of Total_Followers</t>
  </si>
  <si>
    <t>Sum of Engagement Rate</t>
  </si>
  <si>
    <t>Post Interaction Rate</t>
  </si>
  <si>
    <t>Total Engagement</t>
  </si>
  <si>
    <t>(blank)</t>
  </si>
  <si>
    <t>Average of Post Interaction Rate</t>
  </si>
  <si>
    <t>Sum of Total Engagement</t>
  </si>
  <si>
    <t>Cost per new follower</t>
  </si>
  <si>
    <t>Average of Engagement_Rate</t>
  </si>
  <si>
    <t>Average of Cost per new follower</t>
  </si>
  <si>
    <t>Count of Hashtags</t>
  </si>
  <si>
    <t>Average of Shares</t>
  </si>
  <si>
    <t>Average of Comments</t>
  </si>
  <si>
    <t>Average of Likes</t>
  </si>
  <si>
    <t>Average of Total Engagement</t>
  </si>
  <si>
    <t>Twitter  image is best</t>
  </si>
  <si>
    <t>Linkedin Video is best</t>
  </si>
  <si>
    <t>Instagram Tweet is best</t>
  </si>
  <si>
    <t>Youtube video is best</t>
  </si>
  <si>
    <t>Sum of Impressions</t>
  </si>
  <si>
    <t>Average of Impressions</t>
  </si>
  <si>
    <t>Sum of Clicks</t>
  </si>
  <si>
    <t>Engagement During Campaign</t>
  </si>
  <si>
    <t>Engagement Before Campaign</t>
  </si>
  <si>
    <t>Calculated Engagement Uplift (%)</t>
  </si>
  <si>
    <t>ROI</t>
  </si>
  <si>
    <t>Sum of ROI</t>
  </si>
  <si>
    <t>Net follower growth</t>
  </si>
  <si>
    <t>Sum of Ad_Spend</t>
  </si>
  <si>
    <t>Sustainability Awareness Drive has highest ROI</t>
  </si>
  <si>
    <t>Sum of Unfollows</t>
  </si>
  <si>
    <t>Net followers</t>
  </si>
  <si>
    <t>Sum of Net followers</t>
  </si>
  <si>
    <t>Sum of New_Followers</t>
  </si>
  <si>
    <t>Instagram 4W_MA</t>
  </si>
  <si>
    <t>LinkedIn 4W_MA</t>
  </si>
  <si>
    <t>Twitter 4W_MA</t>
  </si>
  <si>
    <t>YouTube 4W_MA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</si>
</sst>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5" fillId="0" borderId="3" xfId="0" applyFont="1" applyBorder="1" applyAlignment="1">
      <alignment wrapText="1"/>
    </xf>
    <xf numFmtId="1" fontId="4" fillId="0" borderId="0" xfId="0" applyNumberFormat="1" applyFont="1"/>
    <xf numFmtId="1" fontId="5" fillId="0" borderId="3" xfId="0" applyNumberFormat="1" applyFont="1" applyBorder="1" applyAlignment="1">
      <alignment horizontal="right" wrapText="1"/>
    </xf>
    <xf numFmtId="0" fontId="6" fillId="0" borderId="0" xfId="0" applyFont="1"/>
    <xf numFmtId="14" fontId="5" fillId="0" borderId="0" xfId="0" applyNumberFormat="1" applyFont="1" applyAlignment="1">
      <alignment horizontal="left"/>
    </xf>
    <xf numFmtId="0" fontId="8" fillId="0" borderId="1" xfId="0" applyFont="1" applyBorder="1" applyAlignment="1">
      <alignment horizontal="center" vertical="top"/>
    </xf>
    <xf numFmtId="1" fontId="4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/>
    <xf numFmtId="0" fontId="8" fillId="0" borderId="4" xfId="0" applyFont="1" applyBorder="1" applyAlignment="1">
      <alignment horizontal="center" vertical="top"/>
    </xf>
    <xf numFmtId="0" fontId="0" fillId="0" borderId="0" xfId="0" applyAlignment="1">
      <alignment horizontal="left" indent="1"/>
    </xf>
    <xf numFmtId="0" fontId="1" fillId="0" borderId="0" xfId="0" applyFont="1"/>
    <xf numFmtId="10" fontId="0" fillId="0" borderId="0" xfId="0" applyNumberFormat="1"/>
    <xf numFmtId="14" fontId="5" fillId="0" borderId="0" xfId="0" applyNumberFormat="1" applyFont="1" applyAlignment="1">
      <alignment horizontal="left" vertical="top"/>
    </xf>
    <xf numFmtId="2" fontId="5" fillId="0" borderId="0" xfId="0" applyNumberFormat="1" applyFont="1"/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7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6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pivotCacheDefinition" Target="pivotCache/pivotCacheDefinition4.xml"/><Relationship Id="rId35" Type="http://schemas.openxmlformats.org/officeDocument/2006/relationships/pivotCacheDefinition" Target="pivotCache/pivotCacheDefinition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Data.xlsx]Folower Growth rate across plat!PivotTable10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'Folower Growth rate across plat'!$B$1:$B$2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'Folower Growth rate across plat'!$A$3:$A$15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'Folower Growth rate across plat'!$B$3:$B$15</c:f>
              <c:numCache>
                <c:formatCode>General</c:formatCode>
                <c:ptCount val="12"/>
                <c:pt idx="0">
                  <c:v>1678970</c:v>
                </c:pt>
                <c:pt idx="1">
                  <c:v>3749314</c:v>
                </c:pt>
                <c:pt idx="2">
                  <c:v>3068302</c:v>
                </c:pt>
                <c:pt idx="3">
                  <c:v>4463934</c:v>
                </c:pt>
                <c:pt idx="4">
                  <c:v>2338827</c:v>
                </c:pt>
                <c:pt idx="5">
                  <c:v>761843</c:v>
                </c:pt>
                <c:pt idx="6">
                  <c:v>950407</c:v>
                </c:pt>
                <c:pt idx="7">
                  <c:v>1748424</c:v>
                </c:pt>
                <c:pt idx="8">
                  <c:v>3575412</c:v>
                </c:pt>
                <c:pt idx="9">
                  <c:v>2162853</c:v>
                </c:pt>
                <c:pt idx="10">
                  <c:v>1948470</c:v>
                </c:pt>
                <c:pt idx="11">
                  <c:v>4996266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8-4F86-9540-86CEEA125849}"/>
            </c:ext>
          </c:extLst>
        </c:ser>
        <c:ser>
          <c:idx val="1"/>
          <c:order val="1"/>
          <c:tx>
            <c:strRef>
              <c:f>'Folower Growth rate across plat'!$C$1:$C$2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'Folower Growth rate across plat'!$A$3:$A$15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'Folower Growth rate across plat'!$C$3:$C$15</c:f>
              <c:numCache>
                <c:formatCode>General</c:formatCode>
                <c:ptCount val="12"/>
                <c:pt idx="0">
                  <c:v>2442487</c:v>
                </c:pt>
                <c:pt idx="1">
                  <c:v>3632808</c:v>
                </c:pt>
                <c:pt idx="2">
                  <c:v>9209789</c:v>
                </c:pt>
                <c:pt idx="3">
                  <c:v>6629107</c:v>
                </c:pt>
                <c:pt idx="4">
                  <c:v>4669630</c:v>
                </c:pt>
                <c:pt idx="5">
                  <c:v>170518</c:v>
                </c:pt>
                <c:pt idx="6">
                  <c:v>2059655</c:v>
                </c:pt>
                <c:pt idx="7">
                  <c:v>692269</c:v>
                </c:pt>
                <c:pt idx="8">
                  <c:v>1299882</c:v>
                </c:pt>
                <c:pt idx="9">
                  <c:v>1663426</c:v>
                </c:pt>
                <c:pt idx="10">
                  <c:v>3183897</c:v>
                </c:pt>
                <c:pt idx="11">
                  <c:v>5114622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8-4F86-9540-86CEEA125849}"/>
            </c:ext>
          </c:extLst>
        </c:ser>
        <c:ser>
          <c:idx val="2"/>
          <c:order val="2"/>
          <c:tx>
            <c:strRef>
              <c:f>'Folower Growth rate across plat'!$D$1:$D$2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'Folower Growth rate across plat'!$A$3:$A$15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'Folower Growth rate across plat'!$D$3:$D$15</c:f>
              <c:numCache>
                <c:formatCode>General</c:formatCode>
                <c:ptCount val="12"/>
                <c:pt idx="0">
                  <c:v>6631554</c:v>
                </c:pt>
                <c:pt idx="1">
                  <c:v>3595065</c:v>
                </c:pt>
                <c:pt idx="2">
                  <c:v>4001105</c:v>
                </c:pt>
                <c:pt idx="3">
                  <c:v>5654459</c:v>
                </c:pt>
                <c:pt idx="4">
                  <c:v>1186398</c:v>
                </c:pt>
                <c:pt idx="5">
                  <c:v>961762</c:v>
                </c:pt>
                <c:pt idx="6">
                  <c:v>1282914</c:v>
                </c:pt>
                <c:pt idx="7">
                  <c:v>1363921</c:v>
                </c:pt>
                <c:pt idx="8">
                  <c:v>2295757</c:v>
                </c:pt>
                <c:pt idx="9">
                  <c:v>1572941</c:v>
                </c:pt>
                <c:pt idx="10">
                  <c:v>3063395</c:v>
                </c:pt>
                <c:pt idx="11">
                  <c:v>2202932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48-4F86-9540-86CEEA125849}"/>
            </c:ext>
          </c:extLst>
        </c:ser>
        <c:ser>
          <c:idx val="3"/>
          <c:order val="3"/>
          <c:tx>
            <c:strRef>
              <c:f>'Folower Growth rate across plat'!$E$1:$E$2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'Folower Growth rate across plat'!$A$3:$A$15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'Folower Growth rate across plat'!$E$3:$E$15</c:f>
              <c:numCache>
                <c:formatCode>General</c:formatCode>
                <c:ptCount val="12"/>
                <c:pt idx="0">
                  <c:v>2462762</c:v>
                </c:pt>
                <c:pt idx="1">
                  <c:v>3662672</c:v>
                </c:pt>
                <c:pt idx="2">
                  <c:v>4067744</c:v>
                </c:pt>
                <c:pt idx="3">
                  <c:v>1073082</c:v>
                </c:pt>
                <c:pt idx="4">
                  <c:v>1157985</c:v>
                </c:pt>
                <c:pt idx="5">
                  <c:v>586819</c:v>
                </c:pt>
                <c:pt idx="6">
                  <c:v>845232</c:v>
                </c:pt>
                <c:pt idx="7">
                  <c:v>1776227</c:v>
                </c:pt>
                <c:pt idx="8">
                  <c:v>1758174</c:v>
                </c:pt>
                <c:pt idx="9">
                  <c:v>3214198</c:v>
                </c:pt>
                <c:pt idx="10">
                  <c:v>1901467</c:v>
                </c:pt>
                <c:pt idx="11">
                  <c:v>2151867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48-4F86-9540-86CEEA125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399280"/>
        <c:axId val="1916409840"/>
      </c:barChart>
      <c:catAx>
        <c:axId val="191639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409840"/>
        <c:crosses val="autoZero"/>
        <c:auto val="1"/>
        <c:lblAlgn val="ctr"/>
        <c:lblOffset val="100"/>
        <c:noMultiLvlLbl val="0"/>
      </c:catAx>
      <c:valAx>
        <c:axId val="19164098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9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Data.xlsx]Comparative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'Comparative analysis'!$B$1</c:f>
              <c:strCache>
                <c:ptCount val="1"/>
                <c:pt idx="0">
                  <c:v>Average of Post Interaction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'Comparative analysis'!$A$2:$A$24</c:f>
              <c:multiLvlStrCache>
                <c:ptCount val="17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Tweet</c:v>
                  </c:pt>
                  <c:pt idx="3">
                    <c:v>Video</c:v>
                  </c:pt>
                  <c:pt idx="4">
                    <c:v>Carousel</c:v>
                  </c:pt>
                  <c:pt idx="5">
                    <c:v>Image</c:v>
                  </c:pt>
                  <c:pt idx="6">
                    <c:v>Tweet</c:v>
                  </c:pt>
                  <c:pt idx="7">
                    <c:v>Video</c:v>
                  </c:pt>
                  <c:pt idx="8">
                    <c:v>Carousel</c:v>
                  </c:pt>
                  <c:pt idx="9">
                    <c:v>Image</c:v>
                  </c:pt>
                  <c:pt idx="10">
                    <c:v>Tweet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Tweet</c:v>
                  </c:pt>
                  <c:pt idx="15">
                    <c:v>Video</c:v>
                  </c:pt>
                  <c:pt idx="16">
                    <c:v>(blank)</c:v>
                  </c:pt>
                </c:lvl>
                <c:lvl>
                  <c:pt idx="0">
                    <c:v>Instagram</c:v>
                  </c:pt>
                  <c:pt idx="4">
                    <c:v>LinkedIn</c:v>
                  </c:pt>
                  <c:pt idx="8">
                    <c:v>Twitter</c:v>
                  </c:pt>
                  <c:pt idx="12">
                    <c:v>YouTube</c:v>
                  </c:pt>
                  <c:pt idx="16">
                    <c:v>(blank)</c:v>
                  </c:pt>
                </c:lvl>
              </c:multiLvlStrCache>
            </c:multiLvlStrRef>
          </c:cat>
          <c:val>
            <c:numRef>
              <c:f>'Comparative analysis'!$B$2:$B$24</c:f>
              <c:numCache>
                <c:formatCode>General</c:formatCode>
                <c:ptCount val="17"/>
                <c:pt idx="0">
                  <c:v>13.961785082386916</c:v>
                </c:pt>
                <c:pt idx="1">
                  <c:v>10.377515073291898</c:v>
                </c:pt>
                <c:pt idx="2">
                  <c:v>13.337018443894587</c:v>
                </c:pt>
                <c:pt idx="3">
                  <c:v>15.217794897093741</c:v>
                </c:pt>
                <c:pt idx="4">
                  <c:v>12.250809032431249</c:v>
                </c:pt>
                <c:pt idx="5">
                  <c:v>13.468316103106417</c:v>
                </c:pt>
                <c:pt idx="6">
                  <c:v>12.666457250194989</c:v>
                </c:pt>
                <c:pt idx="7">
                  <c:v>17.04899262809932</c:v>
                </c:pt>
                <c:pt idx="8">
                  <c:v>15.49772437001096</c:v>
                </c:pt>
                <c:pt idx="9">
                  <c:v>18.984144281315366</c:v>
                </c:pt>
                <c:pt idx="10">
                  <c:v>12.886725613592565</c:v>
                </c:pt>
                <c:pt idx="11">
                  <c:v>14.983666560441691</c:v>
                </c:pt>
                <c:pt idx="12">
                  <c:v>12.272385372960009</c:v>
                </c:pt>
                <c:pt idx="13">
                  <c:v>11.151928901565201</c:v>
                </c:pt>
                <c:pt idx="14">
                  <c:v>12.101473600164539</c:v>
                </c:pt>
                <c:pt idx="15">
                  <c:v>14.130929917688372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7-4ABF-B8C0-6BF4AF5A88DB}"/>
            </c:ext>
          </c:extLst>
        </c:ser>
        <c:ser>
          <c:idx val="1"/>
          <c:order val="1"/>
          <c:tx>
            <c:strRef>
              <c:f>'Comparative analysis'!$C$1</c:f>
              <c:strCache>
                <c:ptCount val="1"/>
                <c:pt idx="0">
                  <c:v>Sum of Total Engagement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'Comparative analysis'!$A$2:$A$24</c:f>
              <c:multiLvlStrCache>
                <c:ptCount val="17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Tweet</c:v>
                  </c:pt>
                  <c:pt idx="3">
                    <c:v>Video</c:v>
                  </c:pt>
                  <c:pt idx="4">
                    <c:v>Carousel</c:v>
                  </c:pt>
                  <c:pt idx="5">
                    <c:v>Image</c:v>
                  </c:pt>
                  <c:pt idx="6">
                    <c:v>Tweet</c:v>
                  </c:pt>
                  <c:pt idx="7">
                    <c:v>Video</c:v>
                  </c:pt>
                  <c:pt idx="8">
                    <c:v>Carousel</c:v>
                  </c:pt>
                  <c:pt idx="9">
                    <c:v>Image</c:v>
                  </c:pt>
                  <c:pt idx="10">
                    <c:v>Tweet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Tweet</c:v>
                  </c:pt>
                  <c:pt idx="15">
                    <c:v>Video</c:v>
                  </c:pt>
                  <c:pt idx="16">
                    <c:v>(blank)</c:v>
                  </c:pt>
                </c:lvl>
                <c:lvl>
                  <c:pt idx="0">
                    <c:v>Instagram</c:v>
                  </c:pt>
                  <c:pt idx="4">
                    <c:v>LinkedIn</c:v>
                  </c:pt>
                  <c:pt idx="8">
                    <c:v>Twitter</c:v>
                  </c:pt>
                  <c:pt idx="12">
                    <c:v>YouTube</c:v>
                  </c:pt>
                  <c:pt idx="16">
                    <c:v>(blank)</c:v>
                  </c:pt>
                </c:lvl>
              </c:multiLvlStrCache>
            </c:multiLvlStrRef>
          </c:cat>
          <c:val>
            <c:numRef>
              <c:f>'Comparative analysis'!$C$2:$C$24</c:f>
              <c:numCache>
                <c:formatCode>General</c:formatCode>
                <c:ptCount val="17"/>
                <c:pt idx="0">
                  <c:v>343280</c:v>
                </c:pt>
                <c:pt idx="1">
                  <c:v>276109</c:v>
                </c:pt>
                <c:pt idx="2">
                  <c:v>258058</c:v>
                </c:pt>
                <c:pt idx="3">
                  <c:v>290792</c:v>
                </c:pt>
                <c:pt idx="4">
                  <c:v>312259</c:v>
                </c:pt>
                <c:pt idx="5">
                  <c:v>404925</c:v>
                </c:pt>
                <c:pt idx="6">
                  <c:v>341726</c:v>
                </c:pt>
                <c:pt idx="7">
                  <c:v>331966</c:v>
                </c:pt>
                <c:pt idx="8">
                  <c:v>471930</c:v>
                </c:pt>
                <c:pt idx="9">
                  <c:v>174020</c:v>
                </c:pt>
                <c:pt idx="10">
                  <c:v>306682</c:v>
                </c:pt>
                <c:pt idx="11">
                  <c:v>288662</c:v>
                </c:pt>
                <c:pt idx="12">
                  <c:v>350839</c:v>
                </c:pt>
                <c:pt idx="13">
                  <c:v>238364</c:v>
                </c:pt>
                <c:pt idx="14">
                  <c:v>238586</c:v>
                </c:pt>
                <c:pt idx="15">
                  <c:v>354924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7-4ABF-B8C0-6BF4AF5A8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038895"/>
        <c:axId val="536018255"/>
      </c:barChart>
      <c:catAx>
        <c:axId val="53603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18255"/>
        <c:crosses val="autoZero"/>
        <c:auto val="1"/>
        <c:lblAlgn val="ctr"/>
        <c:lblOffset val="100"/>
        <c:noMultiLvlLbl val="0"/>
      </c:catAx>
      <c:valAx>
        <c:axId val="5360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3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Data.xlsx]Engagement vs ad spend as per p!PivotTable12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vs ad spend as per p'!$B$1:$B$2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vs ad spend as per p'!$A$3:$A$201</c:f>
              <c:strCache>
                <c:ptCount val="198"/>
                <c:pt idx="0">
                  <c:v>10161</c:v>
                </c:pt>
                <c:pt idx="1">
                  <c:v>10162</c:v>
                </c:pt>
                <c:pt idx="2">
                  <c:v>10541</c:v>
                </c:pt>
                <c:pt idx="3">
                  <c:v>11013</c:v>
                </c:pt>
                <c:pt idx="4">
                  <c:v>11171</c:v>
                </c:pt>
                <c:pt idx="5">
                  <c:v>11431</c:v>
                </c:pt>
                <c:pt idx="6">
                  <c:v>11619</c:v>
                </c:pt>
                <c:pt idx="7">
                  <c:v>11651</c:v>
                </c:pt>
                <c:pt idx="8">
                  <c:v>11828</c:v>
                </c:pt>
                <c:pt idx="9">
                  <c:v>12023</c:v>
                </c:pt>
                <c:pt idx="10">
                  <c:v>12096</c:v>
                </c:pt>
                <c:pt idx="11">
                  <c:v>12539</c:v>
                </c:pt>
                <c:pt idx="12">
                  <c:v>12563</c:v>
                </c:pt>
                <c:pt idx="13">
                  <c:v>12643</c:v>
                </c:pt>
                <c:pt idx="14">
                  <c:v>12839</c:v>
                </c:pt>
                <c:pt idx="15">
                  <c:v>13384</c:v>
                </c:pt>
                <c:pt idx="16">
                  <c:v>13390</c:v>
                </c:pt>
                <c:pt idx="17">
                  <c:v>13471</c:v>
                </c:pt>
                <c:pt idx="18">
                  <c:v>13586</c:v>
                </c:pt>
                <c:pt idx="19">
                  <c:v>15017</c:v>
                </c:pt>
                <c:pt idx="20">
                  <c:v>15105</c:v>
                </c:pt>
                <c:pt idx="21">
                  <c:v>15110</c:v>
                </c:pt>
                <c:pt idx="22">
                  <c:v>15347</c:v>
                </c:pt>
                <c:pt idx="23">
                  <c:v>15432</c:v>
                </c:pt>
                <c:pt idx="24">
                  <c:v>15469</c:v>
                </c:pt>
                <c:pt idx="25">
                  <c:v>15997</c:v>
                </c:pt>
                <c:pt idx="26">
                  <c:v>16256</c:v>
                </c:pt>
                <c:pt idx="27">
                  <c:v>16397</c:v>
                </c:pt>
                <c:pt idx="28">
                  <c:v>16643</c:v>
                </c:pt>
                <c:pt idx="29">
                  <c:v>17531</c:v>
                </c:pt>
                <c:pt idx="30">
                  <c:v>17710</c:v>
                </c:pt>
                <c:pt idx="31">
                  <c:v>17736</c:v>
                </c:pt>
                <c:pt idx="32">
                  <c:v>17896</c:v>
                </c:pt>
                <c:pt idx="33">
                  <c:v>17909</c:v>
                </c:pt>
                <c:pt idx="34">
                  <c:v>17927</c:v>
                </c:pt>
                <c:pt idx="35">
                  <c:v>17999</c:v>
                </c:pt>
                <c:pt idx="36">
                  <c:v>18329</c:v>
                </c:pt>
                <c:pt idx="37">
                  <c:v>18461</c:v>
                </c:pt>
                <c:pt idx="38">
                  <c:v>19067</c:v>
                </c:pt>
                <c:pt idx="39">
                  <c:v>19435</c:v>
                </c:pt>
                <c:pt idx="40">
                  <c:v>19518</c:v>
                </c:pt>
                <c:pt idx="41">
                  <c:v>19557</c:v>
                </c:pt>
                <c:pt idx="42">
                  <c:v>19596</c:v>
                </c:pt>
                <c:pt idx="43">
                  <c:v>19833</c:v>
                </c:pt>
                <c:pt idx="44">
                  <c:v>20028</c:v>
                </c:pt>
                <c:pt idx="45">
                  <c:v>20258</c:v>
                </c:pt>
                <c:pt idx="46">
                  <c:v>20720</c:v>
                </c:pt>
                <c:pt idx="47">
                  <c:v>21005</c:v>
                </c:pt>
                <c:pt idx="48">
                  <c:v>21918</c:v>
                </c:pt>
                <c:pt idx="49">
                  <c:v>21929</c:v>
                </c:pt>
                <c:pt idx="50">
                  <c:v>22087</c:v>
                </c:pt>
                <c:pt idx="51">
                  <c:v>22448</c:v>
                </c:pt>
                <c:pt idx="52">
                  <c:v>22693</c:v>
                </c:pt>
                <c:pt idx="53">
                  <c:v>23109</c:v>
                </c:pt>
                <c:pt idx="54">
                  <c:v>23428</c:v>
                </c:pt>
                <c:pt idx="55">
                  <c:v>23493</c:v>
                </c:pt>
                <c:pt idx="56">
                  <c:v>23944</c:v>
                </c:pt>
                <c:pt idx="57">
                  <c:v>23975</c:v>
                </c:pt>
                <c:pt idx="58">
                  <c:v>24226</c:v>
                </c:pt>
                <c:pt idx="59">
                  <c:v>24289</c:v>
                </c:pt>
                <c:pt idx="60">
                  <c:v>24472</c:v>
                </c:pt>
                <c:pt idx="61">
                  <c:v>24537</c:v>
                </c:pt>
                <c:pt idx="62">
                  <c:v>25078</c:v>
                </c:pt>
                <c:pt idx="63">
                  <c:v>25261</c:v>
                </c:pt>
                <c:pt idx="64">
                  <c:v>25379</c:v>
                </c:pt>
                <c:pt idx="65">
                  <c:v>25892</c:v>
                </c:pt>
                <c:pt idx="66">
                  <c:v>26029</c:v>
                </c:pt>
                <c:pt idx="67">
                  <c:v>26044</c:v>
                </c:pt>
                <c:pt idx="68">
                  <c:v>26087</c:v>
                </c:pt>
                <c:pt idx="69">
                  <c:v>26184</c:v>
                </c:pt>
                <c:pt idx="70">
                  <c:v>26370</c:v>
                </c:pt>
                <c:pt idx="71">
                  <c:v>27015</c:v>
                </c:pt>
                <c:pt idx="72">
                  <c:v>27069</c:v>
                </c:pt>
                <c:pt idx="73">
                  <c:v>27073</c:v>
                </c:pt>
                <c:pt idx="74">
                  <c:v>27081</c:v>
                </c:pt>
                <c:pt idx="75">
                  <c:v>27833</c:v>
                </c:pt>
                <c:pt idx="76">
                  <c:v>28284</c:v>
                </c:pt>
                <c:pt idx="77">
                  <c:v>28313</c:v>
                </c:pt>
                <c:pt idx="78">
                  <c:v>28394</c:v>
                </c:pt>
                <c:pt idx="79">
                  <c:v>28509</c:v>
                </c:pt>
                <c:pt idx="80">
                  <c:v>28681</c:v>
                </c:pt>
                <c:pt idx="81">
                  <c:v>28745</c:v>
                </c:pt>
                <c:pt idx="82">
                  <c:v>28994</c:v>
                </c:pt>
                <c:pt idx="83">
                  <c:v>29194</c:v>
                </c:pt>
                <c:pt idx="84">
                  <c:v>29675</c:v>
                </c:pt>
                <c:pt idx="85">
                  <c:v>29715</c:v>
                </c:pt>
                <c:pt idx="86">
                  <c:v>29873</c:v>
                </c:pt>
                <c:pt idx="87">
                  <c:v>30644</c:v>
                </c:pt>
                <c:pt idx="88">
                  <c:v>31621</c:v>
                </c:pt>
                <c:pt idx="89">
                  <c:v>31817</c:v>
                </c:pt>
                <c:pt idx="90">
                  <c:v>32436</c:v>
                </c:pt>
                <c:pt idx="91">
                  <c:v>32669</c:v>
                </c:pt>
                <c:pt idx="92">
                  <c:v>33225</c:v>
                </c:pt>
                <c:pt idx="93">
                  <c:v>33252</c:v>
                </c:pt>
                <c:pt idx="94">
                  <c:v>33284</c:v>
                </c:pt>
                <c:pt idx="95">
                  <c:v>33705</c:v>
                </c:pt>
                <c:pt idx="96">
                  <c:v>33762</c:v>
                </c:pt>
                <c:pt idx="97">
                  <c:v>33928</c:v>
                </c:pt>
                <c:pt idx="98">
                  <c:v>34286</c:v>
                </c:pt>
                <c:pt idx="99">
                  <c:v>34570</c:v>
                </c:pt>
                <c:pt idx="100">
                  <c:v>35051</c:v>
                </c:pt>
                <c:pt idx="101">
                  <c:v>35122</c:v>
                </c:pt>
                <c:pt idx="102">
                  <c:v>35279</c:v>
                </c:pt>
                <c:pt idx="103">
                  <c:v>36201</c:v>
                </c:pt>
                <c:pt idx="104">
                  <c:v>36661</c:v>
                </c:pt>
                <c:pt idx="105">
                  <c:v>37037</c:v>
                </c:pt>
                <c:pt idx="106">
                  <c:v>37386</c:v>
                </c:pt>
                <c:pt idx="107">
                  <c:v>37523</c:v>
                </c:pt>
                <c:pt idx="108">
                  <c:v>37766</c:v>
                </c:pt>
                <c:pt idx="109">
                  <c:v>38047</c:v>
                </c:pt>
                <c:pt idx="110">
                  <c:v>38228</c:v>
                </c:pt>
                <c:pt idx="111">
                  <c:v>38272</c:v>
                </c:pt>
                <c:pt idx="112">
                  <c:v>38731</c:v>
                </c:pt>
                <c:pt idx="113">
                  <c:v>38854</c:v>
                </c:pt>
                <c:pt idx="114">
                  <c:v>39197</c:v>
                </c:pt>
                <c:pt idx="115">
                  <c:v>39252</c:v>
                </c:pt>
                <c:pt idx="116">
                  <c:v>39309</c:v>
                </c:pt>
                <c:pt idx="117">
                  <c:v>39312</c:v>
                </c:pt>
                <c:pt idx="118">
                  <c:v>39411</c:v>
                </c:pt>
                <c:pt idx="119">
                  <c:v>39750</c:v>
                </c:pt>
                <c:pt idx="120">
                  <c:v>40254</c:v>
                </c:pt>
                <c:pt idx="121">
                  <c:v>40268</c:v>
                </c:pt>
                <c:pt idx="122">
                  <c:v>40314</c:v>
                </c:pt>
                <c:pt idx="123">
                  <c:v>40447</c:v>
                </c:pt>
                <c:pt idx="124">
                  <c:v>40508</c:v>
                </c:pt>
                <c:pt idx="125">
                  <c:v>40682</c:v>
                </c:pt>
                <c:pt idx="126">
                  <c:v>41358</c:v>
                </c:pt>
                <c:pt idx="127">
                  <c:v>41703</c:v>
                </c:pt>
                <c:pt idx="128">
                  <c:v>42262</c:v>
                </c:pt>
                <c:pt idx="129">
                  <c:v>42373</c:v>
                </c:pt>
                <c:pt idx="130">
                  <c:v>42591</c:v>
                </c:pt>
                <c:pt idx="131">
                  <c:v>42972</c:v>
                </c:pt>
                <c:pt idx="132">
                  <c:v>43598</c:v>
                </c:pt>
                <c:pt idx="133">
                  <c:v>43787</c:v>
                </c:pt>
                <c:pt idx="134">
                  <c:v>43848</c:v>
                </c:pt>
                <c:pt idx="135">
                  <c:v>43937</c:v>
                </c:pt>
                <c:pt idx="136">
                  <c:v>44051</c:v>
                </c:pt>
                <c:pt idx="137">
                  <c:v>44501</c:v>
                </c:pt>
                <c:pt idx="138">
                  <c:v>44521</c:v>
                </c:pt>
                <c:pt idx="139">
                  <c:v>44546</c:v>
                </c:pt>
                <c:pt idx="140">
                  <c:v>44742</c:v>
                </c:pt>
                <c:pt idx="141">
                  <c:v>44782</c:v>
                </c:pt>
                <c:pt idx="142">
                  <c:v>44865</c:v>
                </c:pt>
                <c:pt idx="143">
                  <c:v>44947</c:v>
                </c:pt>
                <c:pt idx="144">
                  <c:v>45525</c:v>
                </c:pt>
                <c:pt idx="145">
                  <c:v>46060</c:v>
                </c:pt>
                <c:pt idx="146">
                  <c:v>46727</c:v>
                </c:pt>
                <c:pt idx="147">
                  <c:v>46751</c:v>
                </c:pt>
                <c:pt idx="148">
                  <c:v>46768</c:v>
                </c:pt>
                <c:pt idx="149">
                  <c:v>47051</c:v>
                </c:pt>
                <c:pt idx="150">
                  <c:v>47481</c:v>
                </c:pt>
                <c:pt idx="151">
                  <c:v>47766</c:v>
                </c:pt>
                <c:pt idx="152">
                  <c:v>47804</c:v>
                </c:pt>
                <c:pt idx="153">
                  <c:v>47861</c:v>
                </c:pt>
                <c:pt idx="154">
                  <c:v>48019</c:v>
                </c:pt>
                <c:pt idx="155">
                  <c:v>48328</c:v>
                </c:pt>
                <c:pt idx="156">
                  <c:v>48356</c:v>
                </c:pt>
                <c:pt idx="157">
                  <c:v>48659</c:v>
                </c:pt>
                <c:pt idx="158">
                  <c:v>49110</c:v>
                </c:pt>
                <c:pt idx="159">
                  <c:v>50372</c:v>
                </c:pt>
                <c:pt idx="160">
                  <c:v>50785</c:v>
                </c:pt>
                <c:pt idx="161">
                  <c:v>51796</c:v>
                </c:pt>
                <c:pt idx="162">
                  <c:v>51800</c:v>
                </c:pt>
                <c:pt idx="163">
                  <c:v>51903</c:v>
                </c:pt>
                <c:pt idx="164">
                  <c:v>52003</c:v>
                </c:pt>
                <c:pt idx="165">
                  <c:v>52092</c:v>
                </c:pt>
                <c:pt idx="166">
                  <c:v>52821</c:v>
                </c:pt>
                <c:pt idx="167">
                  <c:v>52845</c:v>
                </c:pt>
                <c:pt idx="168">
                  <c:v>52963</c:v>
                </c:pt>
                <c:pt idx="169">
                  <c:v>53363</c:v>
                </c:pt>
                <c:pt idx="170">
                  <c:v>53543</c:v>
                </c:pt>
                <c:pt idx="171">
                  <c:v>53590</c:v>
                </c:pt>
                <c:pt idx="172">
                  <c:v>53619</c:v>
                </c:pt>
                <c:pt idx="173">
                  <c:v>53922</c:v>
                </c:pt>
                <c:pt idx="174">
                  <c:v>53934</c:v>
                </c:pt>
                <c:pt idx="175">
                  <c:v>54848</c:v>
                </c:pt>
                <c:pt idx="176">
                  <c:v>55253</c:v>
                </c:pt>
                <c:pt idx="177">
                  <c:v>55603</c:v>
                </c:pt>
                <c:pt idx="178">
                  <c:v>55657</c:v>
                </c:pt>
                <c:pt idx="179">
                  <c:v>55951</c:v>
                </c:pt>
                <c:pt idx="180">
                  <c:v>56026</c:v>
                </c:pt>
                <c:pt idx="181">
                  <c:v>56698</c:v>
                </c:pt>
                <c:pt idx="182">
                  <c:v>56850</c:v>
                </c:pt>
                <c:pt idx="183">
                  <c:v>56907</c:v>
                </c:pt>
                <c:pt idx="184">
                  <c:v>57299</c:v>
                </c:pt>
                <c:pt idx="185">
                  <c:v>57639</c:v>
                </c:pt>
                <c:pt idx="186">
                  <c:v>58201</c:v>
                </c:pt>
                <c:pt idx="187">
                  <c:v>58330</c:v>
                </c:pt>
                <c:pt idx="188">
                  <c:v>58709</c:v>
                </c:pt>
                <c:pt idx="189">
                  <c:v>58831</c:v>
                </c:pt>
                <c:pt idx="190">
                  <c:v>58868</c:v>
                </c:pt>
                <c:pt idx="191">
                  <c:v>58998</c:v>
                </c:pt>
                <c:pt idx="192">
                  <c:v>59378</c:v>
                </c:pt>
                <c:pt idx="193">
                  <c:v>59733</c:v>
                </c:pt>
                <c:pt idx="194">
                  <c:v>59745</c:v>
                </c:pt>
                <c:pt idx="195">
                  <c:v>59811</c:v>
                </c:pt>
                <c:pt idx="196">
                  <c:v>59815</c:v>
                </c:pt>
                <c:pt idx="197">
                  <c:v>59823</c:v>
                </c:pt>
              </c:strCache>
            </c:strRef>
          </c:cat>
          <c:val>
            <c:numRef>
              <c:f>'Engagement vs ad spend as per p'!$B$3:$B$201</c:f>
              <c:numCache>
                <c:formatCode>General</c:formatCode>
                <c:ptCount val="198"/>
                <c:pt idx="3">
                  <c:v>2848900</c:v>
                </c:pt>
                <c:pt idx="4">
                  <c:v>2484900</c:v>
                </c:pt>
                <c:pt idx="17">
                  <c:v>1058700.0000000005</c:v>
                </c:pt>
                <c:pt idx="20">
                  <c:v>11293200.000000002</c:v>
                </c:pt>
                <c:pt idx="21">
                  <c:v>1928299.9999999998</c:v>
                </c:pt>
                <c:pt idx="24">
                  <c:v>12045400</c:v>
                </c:pt>
                <c:pt idx="26">
                  <c:v>6439999.9999999991</c:v>
                </c:pt>
                <c:pt idx="35">
                  <c:v>1015499.9999999998</c:v>
                </c:pt>
                <c:pt idx="39">
                  <c:v>3201000.0000000005</c:v>
                </c:pt>
                <c:pt idx="41">
                  <c:v>2210899.9999999995</c:v>
                </c:pt>
                <c:pt idx="42">
                  <c:v>2813300</c:v>
                </c:pt>
                <c:pt idx="44">
                  <c:v>1975200.0000000002</c:v>
                </c:pt>
                <c:pt idx="52">
                  <c:v>13995100</c:v>
                </c:pt>
                <c:pt idx="53">
                  <c:v>3364799.9999999995</c:v>
                </c:pt>
                <c:pt idx="56">
                  <c:v>5877700</c:v>
                </c:pt>
                <c:pt idx="58">
                  <c:v>1413500</c:v>
                </c:pt>
                <c:pt idx="64">
                  <c:v>4782299.9999999991</c:v>
                </c:pt>
                <c:pt idx="67">
                  <c:v>7298700</c:v>
                </c:pt>
                <c:pt idx="69">
                  <c:v>1843799.9999999998</c:v>
                </c:pt>
                <c:pt idx="74">
                  <c:v>10646800</c:v>
                </c:pt>
                <c:pt idx="75">
                  <c:v>8251599.9999999972</c:v>
                </c:pt>
                <c:pt idx="76">
                  <c:v>8697499.9999999981</c:v>
                </c:pt>
                <c:pt idx="81">
                  <c:v>8481300</c:v>
                </c:pt>
                <c:pt idx="83">
                  <c:v>6648099.9999999981</c:v>
                </c:pt>
                <c:pt idx="87">
                  <c:v>4529200</c:v>
                </c:pt>
                <c:pt idx="88">
                  <c:v>14907599.999999996</c:v>
                </c:pt>
                <c:pt idx="101">
                  <c:v>4260200</c:v>
                </c:pt>
                <c:pt idx="104">
                  <c:v>3125299.9999999995</c:v>
                </c:pt>
                <c:pt idx="105">
                  <c:v>13649800.000000006</c:v>
                </c:pt>
                <c:pt idx="114">
                  <c:v>8593899.9999999981</c:v>
                </c:pt>
                <c:pt idx="118">
                  <c:v>9068500</c:v>
                </c:pt>
                <c:pt idx="119">
                  <c:v>14804300.000000002</c:v>
                </c:pt>
                <c:pt idx="128">
                  <c:v>13820199.999999998</c:v>
                </c:pt>
                <c:pt idx="129">
                  <c:v>4386600</c:v>
                </c:pt>
                <c:pt idx="140">
                  <c:v>7170900.0000000009</c:v>
                </c:pt>
                <c:pt idx="141">
                  <c:v>3836500</c:v>
                </c:pt>
                <c:pt idx="142">
                  <c:v>10135300.000000004</c:v>
                </c:pt>
                <c:pt idx="146">
                  <c:v>4771099.9999999991</c:v>
                </c:pt>
                <c:pt idx="149">
                  <c:v>9666099.9999999981</c:v>
                </c:pt>
                <c:pt idx="155">
                  <c:v>5943700</c:v>
                </c:pt>
                <c:pt idx="163">
                  <c:v>11610800.000000006</c:v>
                </c:pt>
                <c:pt idx="167">
                  <c:v>2809900</c:v>
                </c:pt>
                <c:pt idx="170">
                  <c:v>2111600</c:v>
                </c:pt>
                <c:pt idx="173">
                  <c:v>11947199.999999996</c:v>
                </c:pt>
                <c:pt idx="175">
                  <c:v>13514700</c:v>
                </c:pt>
                <c:pt idx="182">
                  <c:v>10564800.000000002</c:v>
                </c:pt>
                <c:pt idx="186">
                  <c:v>11464800.000000002</c:v>
                </c:pt>
                <c:pt idx="187">
                  <c:v>13877500</c:v>
                </c:pt>
                <c:pt idx="189">
                  <c:v>14366299.999999998</c:v>
                </c:pt>
                <c:pt idx="192">
                  <c:v>3911800.0000000005</c:v>
                </c:pt>
                <c:pt idx="193">
                  <c:v>12621900.000000002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9-4028-985B-C7F88BA41CA0}"/>
            </c:ext>
          </c:extLst>
        </c:ser>
        <c:ser>
          <c:idx val="1"/>
          <c:order val="1"/>
          <c:tx>
            <c:strRef>
              <c:f>'Engagement vs ad spend as per p'!$C$1:$C$2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'Engagement vs ad spend as per p'!$A$3:$A$201</c:f>
              <c:strCache>
                <c:ptCount val="198"/>
                <c:pt idx="0">
                  <c:v>10161</c:v>
                </c:pt>
                <c:pt idx="1">
                  <c:v>10162</c:v>
                </c:pt>
                <c:pt idx="2">
                  <c:v>10541</c:v>
                </c:pt>
                <c:pt idx="3">
                  <c:v>11013</c:v>
                </c:pt>
                <c:pt idx="4">
                  <c:v>11171</c:v>
                </c:pt>
                <c:pt idx="5">
                  <c:v>11431</c:v>
                </c:pt>
                <c:pt idx="6">
                  <c:v>11619</c:v>
                </c:pt>
                <c:pt idx="7">
                  <c:v>11651</c:v>
                </c:pt>
                <c:pt idx="8">
                  <c:v>11828</c:v>
                </c:pt>
                <c:pt idx="9">
                  <c:v>12023</c:v>
                </c:pt>
                <c:pt idx="10">
                  <c:v>12096</c:v>
                </c:pt>
                <c:pt idx="11">
                  <c:v>12539</c:v>
                </c:pt>
                <c:pt idx="12">
                  <c:v>12563</c:v>
                </c:pt>
                <c:pt idx="13">
                  <c:v>12643</c:v>
                </c:pt>
                <c:pt idx="14">
                  <c:v>12839</c:v>
                </c:pt>
                <c:pt idx="15">
                  <c:v>13384</c:v>
                </c:pt>
                <c:pt idx="16">
                  <c:v>13390</c:v>
                </c:pt>
                <c:pt idx="17">
                  <c:v>13471</c:v>
                </c:pt>
                <c:pt idx="18">
                  <c:v>13586</c:v>
                </c:pt>
                <c:pt idx="19">
                  <c:v>15017</c:v>
                </c:pt>
                <c:pt idx="20">
                  <c:v>15105</c:v>
                </c:pt>
                <c:pt idx="21">
                  <c:v>15110</c:v>
                </c:pt>
                <c:pt idx="22">
                  <c:v>15347</c:v>
                </c:pt>
                <c:pt idx="23">
                  <c:v>15432</c:v>
                </c:pt>
                <c:pt idx="24">
                  <c:v>15469</c:v>
                </c:pt>
                <c:pt idx="25">
                  <c:v>15997</c:v>
                </c:pt>
                <c:pt idx="26">
                  <c:v>16256</c:v>
                </c:pt>
                <c:pt idx="27">
                  <c:v>16397</c:v>
                </c:pt>
                <c:pt idx="28">
                  <c:v>16643</c:v>
                </c:pt>
                <c:pt idx="29">
                  <c:v>17531</c:v>
                </c:pt>
                <c:pt idx="30">
                  <c:v>17710</c:v>
                </c:pt>
                <c:pt idx="31">
                  <c:v>17736</c:v>
                </c:pt>
                <c:pt idx="32">
                  <c:v>17896</c:v>
                </c:pt>
                <c:pt idx="33">
                  <c:v>17909</c:v>
                </c:pt>
                <c:pt idx="34">
                  <c:v>17927</c:v>
                </c:pt>
                <c:pt idx="35">
                  <c:v>17999</c:v>
                </c:pt>
                <c:pt idx="36">
                  <c:v>18329</c:v>
                </c:pt>
                <c:pt idx="37">
                  <c:v>18461</c:v>
                </c:pt>
                <c:pt idx="38">
                  <c:v>19067</c:v>
                </c:pt>
                <c:pt idx="39">
                  <c:v>19435</c:v>
                </c:pt>
                <c:pt idx="40">
                  <c:v>19518</c:v>
                </c:pt>
                <c:pt idx="41">
                  <c:v>19557</c:v>
                </c:pt>
                <c:pt idx="42">
                  <c:v>19596</c:v>
                </c:pt>
                <c:pt idx="43">
                  <c:v>19833</c:v>
                </c:pt>
                <c:pt idx="44">
                  <c:v>20028</c:v>
                </c:pt>
                <c:pt idx="45">
                  <c:v>20258</c:v>
                </c:pt>
                <c:pt idx="46">
                  <c:v>20720</c:v>
                </c:pt>
                <c:pt idx="47">
                  <c:v>21005</c:v>
                </c:pt>
                <c:pt idx="48">
                  <c:v>21918</c:v>
                </c:pt>
                <c:pt idx="49">
                  <c:v>21929</c:v>
                </c:pt>
                <c:pt idx="50">
                  <c:v>22087</c:v>
                </c:pt>
                <c:pt idx="51">
                  <c:v>22448</c:v>
                </c:pt>
                <c:pt idx="52">
                  <c:v>22693</c:v>
                </c:pt>
                <c:pt idx="53">
                  <c:v>23109</c:v>
                </c:pt>
                <c:pt idx="54">
                  <c:v>23428</c:v>
                </c:pt>
                <c:pt idx="55">
                  <c:v>23493</c:v>
                </c:pt>
                <c:pt idx="56">
                  <c:v>23944</c:v>
                </c:pt>
                <c:pt idx="57">
                  <c:v>23975</c:v>
                </c:pt>
                <c:pt idx="58">
                  <c:v>24226</c:v>
                </c:pt>
                <c:pt idx="59">
                  <c:v>24289</c:v>
                </c:pt>
                <c:pt idx="60">
                  <c:v>24472</c:v>
                </c:pt>
                <c:pt idx="61">
                  <c:v>24537</c:v>
                </c:pt>
                <c:pt idx="62">
                  <c:v>25078</c:v>
                </c:pt>
                <c:pt idx="63">
                  <c:v>25261</c:v>
                </c:pt>
                <c:pt idx="64">
                  <c:v>25379</c:v>
                </c:pt>
                <c:pt idx="65">
                  <c:v>25892</c:v>
                </c:pt>
                <c:pt idx="66">
                  <c:v>26029</c:v>
                </c:pt>
                <c:pt idx="67">
                  <c:v>26044</c:v>
                </c:pt>
                <c:pt idx="68">
                  <c:v>26087</c:v>
                </c:pt>
                <c:pt idx="69">
                  <c:v>26184</c:v>
                </c:pt>
                <c:pt idx="70">
                  <c:v>26370</c:v>
                </c:pt>
                <c:pt idx="71">
                  <c:v>27015</c:v>
                </c:pt>
                <c:pt idx="72">
                  <c:v>27069</c:v>
                </c:pt>
                <c:pt idx="73">
                  <c:v>27073</c:v>
                </c:pt>
                <c:pt idx="74">
                  <c:v>27081</c:v>
                </c:pt>
                <c:pt idx="75">
                  <c:v>27833</c:v>
                </c:pt>
                <c:pt idx="76">
                  <c:v>28284</c:v>
                </c:pt>
                <c:pt idx="77">
                  <c:v>28313</c:v>
                </c:pt>
                <c:pt idx="78">
                  <c:v>28394</c:v>
                </c:pt>
                <c:pt idx="79">
                  <c:v>28509</c:v>
                </c:pt>
                <c:pt idx="80">
                  <c:v>28681</c:v>
                </c:pt>
                <c:pt idx="81">
                  <c:v>28745</c:v>
                </c:pt>
                <c:pt idx="82">
                  <c:v>28994</c:v>
                </c:pt>
                <c:pt idx="83">
                  <c:v>29194</c:v>
                </c:pt>
                <c:pt idx="84">
                  <c:v>29675</c:v>
                </c:pt>
                <c:pt idx="85">
                  <c:v>29715</c:v>
                </c:pt>
                <c:pt idx="86">
                  <c:v>29873</c:v>
                </c:pt>
                <c:pt idx="87">
                  <c:v>30644</c:v>
                </c:pt>
                <c:pt idx="88">
                  <c:v>31621</c:v>
                </c:pt>
                <c:pt idx="89">
                  <c:v>31817</c:v>
                </c:pt>
                <c:pt idx="90">
                  <c:v>32436</c:v>
                </c:pt>
                <c:pt idx="91">
                  <c:v>32669</c:v>
                </c:pt>
                <c:pt idx="92">
                  <c:v>33225</c:v>
                </c:pt>
                <c:pt idx="93">
                  <c:v>33252</c:v>
                </c:pt>
                <c:pt idx="94">
                  <c:v>33284</c:v>
                </c:pt>
                <c:pt idx="95">
                  <c:v>33705</c:v>
                </c:pt>
                <c:pt idx="96">
                  <c:v>33762</c:v>
                </c:pt>
                <c:pt idx="97">
                  <c:v>33928</c:v>
                </c:pt>
                <c:pt idx="98">
                  <c:v>34286</c:v>
                </c:pt>
                <c:pt idx="99">
                  <c:v>34570</c:v>
                </c:pt>
                <c:pt idx="100">
                  <c:v>35051</c:v>
                </c:pt>
                <c:pt idx="101">
                  <c:v>35122</c:v>
                </c:pt>
                <c:pt idx="102">
                  <c:v>35279</c:v>
                </c:pt>
                <c:pt idx="103">
                  <c:v>36201</c:v>
                </c:pt>
                <c:pt idx="104">
                  <c:v>36661</c:v>
                </c:pt>
                <c:pt idx="105">
                  <c:v>37037</c:v>
                </c:pt>
                <c:pt idx="106">
                  <c:v>37386</c:v>
                </c:pt>
                <c:pt idx="107">
                  <c:v>37523</c:v>
                </c:pt>
                <c:pt idx="108">
                  <c:v>37766</c:v>
                </c:pt>
                <c:pt idx="109">
                  <c:v>38047</c:v>
                </c:pt>
                <c:pt idx="110">
                  <c:v>38228</c:v>
                </c:pt>
                <c:pt idx="111">
                  <c:v>38272</c:v>
                </c:pt>
                <c:pt idx="112">
                  <c:v>38731</c:v>
                </c:pt>
                <c:pt idx="113">
                  <c:v>38854</c:v>
                </c:pt>
                <c:pt idx="114">
                  <c:v>39197</c:v>
                </c:pt>
                <c:pt idx="115">
                  <c:v>39252</c:v>
                </c:pt>
                <c:pt idx="116">
                  <c:v>39309</c:v>
                </c:pt>
                <c:pt idx="117">
                  <c:v>39312</c:v>
                </c:pt>
                <c:pt idx="118">
                  <c:v>39411</c:v>
                </c:pt>
                <c:pt idx="119">
                  <c:v>39750</c:v>
                </c:pt>
                <c:pt idx="120">
                  <c:v>40254</c:v>
                </c:pt>
                <c:pt idx="121">
                  <c:v>40268</c:v>
                </c:pt>
                <c:pt idx="122">
                  <c:v>40314</c:v>
                </c:pt>
                <c:pt idx="123">
                  <c:v>40447</c:v>
                </c:pt>
                <c:pt idx="124">
                  <c:v>40508</c:v>
                </c:pt>
                <c:pt idx="125">
                  <c:v>40682</c:v>
                </c:pt>
                <c:pt idx="126">
                  <c:v>41358</c:v>
                </c:pt>
                <c:pt idx="127">
                  <c:v>41703</c:v>
                </c:pt>
                <c:pt idx="128">
                  <c:v>42262</c:v>
                </c:pt>
                <c:pt idx="129">
                  <c:v>42373</c:v>
                </c:pt>
                <c:pt idx="130">
                  <c:v>42591</c:v>
                </c:pt>
                <c:pt idx="131">
                  <c:v>42972</c:v>
                </c:pt>
                <c:pt idx="132">
                  <c:v>43598</c:v>
                </c:pt>
                <c:pt idx="133">
                  <c:v>43787</c:v>
                </c:pt>
                <c:pt idx="134">
                  <c:v>43848</c:v>
                </c:pt>
                <c:pt idx="135">
                  <c:v>43937</c:v>
                </c:pt>
                <c:pt idx="136">
                  <c:v>44051</c:v>
                </c:pt>
                <c:pt idx="137">
                  <c:v>44501</c:v>
                </c:pt>
                <c:pt idx="138">
                  <c:v>44521</c:v>
                </c:pt>
                <c:pt idx="139">
                  <c:v>44546</c:v>
                </c:pt>
                <c:pt idx="140">
                  <c:v>44742</c:v>
                </c:pt>
                <c:pt idx="141">
                  <c:v>44782</c:v>
                </c:pt>
                <c:pt idx="142">
                  <c:v>44865</c:v>
                </c:pt>
                <c:pt idx="143">
                  <c:v>44947</c:v>
                </c:pt>
                <c:pt idx="144">
                  <c:v>45525</c:v>
                </c:pt>
                <c:pt idx="145">
                  <c:v>46060</c:v>
                </c:pt>
                <c:pt idx="146">
                  <c:v>46727</c:v>
                </c:pt>
                <c:pt idx="147">
                  <c:v>46751</c:v>
                </c:pt>
                <c:pt idx="148">
                  <c:v>46768</c:v>
                </c:pt>
                <c:pt idx="149">
                  <c:v>47051</c:v>
                </c:pt>
                <c:pt idx="150">
                  <c:v>47481</c:v>
                </c:pt>
                <c:pt idx="151">
                  <c:v>47766</c:v>
                </c:pt>
                <c:pt idx="152">
                  <c:v>47804</c:v>
                </c:pt>
                <c:pt idx="153">
                  <c:v>47861</c:v>
                </c:pt>
                <c:pt idx="154">
                  <c:v>48019</c:v>
                </c:pt>
                <c:pt idx="155">
                  <c:v>48328</c:v>
                </c:pt>
                <c:pt idx="156">
                  <c:v>48356</c:v>
                </c:pt>
                <c:pt idx="157">
                  <c:v>48659</c:v>
                </c:pt>
                <c:pt idx="158">
                  <c:v>49110</c:v>
                </c:pt>
                <c:pt idx="159">
                  <c:v>50372</c:v>
                </c:pt>
                <c:pt idx="160">
                  <c:v>50785</c:v>
                </c:pt>
                <c:pt idx="161">
                  <c:v>51796</c:v>
                </c:pt>
                <c:pt idx="162">
                  <c:v>51800</c:v>
                </c:pt>
                <c:pt idx="163">
                  <c:v>51903</c:v>
                </c:pt>
                <c:pt idx="164">
                  <c:v>52003</c:v>
                </c:pt>
                <c:pt idx="165">
                  <c:v>52092</c:v>
                </c:pt>
                <c:pt idx="166">
                  <c:v>52821</c:v>
                </c:pt>
                <c:pt idx="167">
                  <c:v>52845</c:v>
                </c:pt>
                <c:pt idx="168">
                  <c:v>52963</c:v>
                </c:pt>
                <c:pt idx="169">
                  <c:v>53363</c:v>
                </c:pt>
                <c:pt idx="170">
                  <c:v>53543</c:v>
                </c:pt>
                <c:pt idx="171">
                  <c:v>53590</c:v>
                </c:pt>
                <c:pt idx="172">
                  <c:v>53619</c:v>
                </c:pt>
                <c:pt idx="173">
                  <c:v>53922</c:v>
                </c:pt>
                <c:pt idx="174">
                  <c:v>53934</c:v>
                </c:pt>
                <c:pt idx="175">
                  <c:v>54848</c:v>
                </c:pt>
                <c:pt idx="176">
                  <c:v>55253</c:v>
                </c:pt>
                <c:pt idx="177">
                  <c:v>55603</c:v>
                </c:pt>
                <c:pt idx="178">
                  <c:v>55657</c:v>
                </c:pt>
                <c:pt idx="179">
                  <c:v>55951</c:v>
                </c:pt>
                <c:pt idx="180">
                  <c:v>56026</c:v>
                </c:pt>
                <c:pt idx="181">
                  <c:v>56698</c:v>
                </c:pt>
                <c:pt idx="182">
                  <c:v>56850</c:v>
                </c:pt>
                <c:pt idx="183">
                  <c:v>56907</c:v>
                </c:pt>
                <c:pt idx="184">
                  <c:v>57299</c:v>
                </c:pt>
                <c:pt idx="185">
                  <c:v>57639</c:v>
                </c:pt>
                <c:pt idx="186">
                  <c:v>58201</c:v>
                </c:pt>
                <c:pt idx="187">
                  <c:v>58330</c:v>
                </c:pt>
                <c:pt idx="188">
                  <c:v>58709</c:v>
                </c:pt>
                <c:pt idx="189">
                  <c:v>58831</c:v>
                </c:pt>
                <c:pt idx="190">
                  <c:v>58868</c:v>
                </c:pt>
                <c:pt idx="191">
                  <c:v>58998</c:v>
                </c:pt>
                <c:pt idx="192">
                  <c:v>59378</c:v>
                </c:pt>
                <c:pt idx="193">
                  <c:v>59733</c:v>
                </c:pt>
                <c:pt idx="194">
                  <c:v>59745</c:v>
                </c:pt>
                <c:pt idx="195">
                  <c:v>59811</c:v>
                </c:pt>
                <c:pt idx="196">
                  <c:v>59815</c:v>
                </c:pt>
                <c:pt idx="197">
                  <c:v>59823</c:v>
                </c:pt>
              </c:strCache>
            </c:strRef>
          </c:cat>
          <c:val>
            <c:numRef>
              <c:f>'Engagement vs ad spend as per p'!$C$3:$C$201</c:f>
              <c:numCache>
                <c:formatCode>General</c:formatCode>
                <c:ptCount val="198"/>
                <c:pt idx="2">
                  <c:v>7784300.0000000019</c:v>
                </c:pt>
                <c:pt idx="5">
                  <c:v>9651599.9999999944</c:v>
                </c:pt>
                <c:pt idx="8">
                  <c:v>9181599.9999999981</c:v>
                </c:pt>
                <c:pt idx="10">
                  <c:v>8622899.9999999963</c:v>
                </c:pt>
                <c:pt idx="19">
                  <c:v>13929499.999999998</c:v>
                </c:pt>
                <c:pt idx="22">
                  <c:v>6630700.0000000009</c:v>
                </c:pt>
                <c:pt idx="23">
                  <c:v>3356700.0000000005</c:v>
                </c:pt>
                <c:pt idx="25">
                  <c:v>4338000</c:v>
                </c:pt>
                <c:pt idx="27">
                  <c:v>11908899.999999998</c:v>
                </c:pt>
                <c:pt idx="32">
                  <c:v>2394700.0000000005</c:v>
                </c:pt>
                <c:pt idx="33">
                  <c:v>2356500</c:v>
                </c:pt>
                <c:pt idx="34">
                  <c:v>1825900.0000000002</c:v>
                </c:pt>
                <c:pt idx="36">
                  <c:v>13098700</c:v>
                </c:pt>
                <c:pt idx="37">
                  <c:v>6390900</c:v>
                </c:pt>
                <c:pt idx="59">
                  <c:v>10249300</c:v>
                </c:pt>
                <c:pt idx="60">
                  <c:v>5630500.0000000009</c:v>
                </c:pt>
                <c:pt idx="62">
                  <c:v>12278200</c:v>
                </c:pt>
                <c:pt idx="66">
                  <c:v>14135400.000000002</c:v>
                </c:pt>
                <c:pt idx="72">
                  <c:v>3951600</c:v>
                </c:pt>
                <c:pt idx="77">
                  <c:v>3762400.0000000009</c:v>
                </c:pt>
                <c:pt idx="90">
                  <c:v>13395000</c:v>
                </c:pt>
                <c:pt idx="93">
                  <c:v>14366899.999999998</c:v>
                </c:pt>
                <c:pt idx="94">
                  <c:v>14748799.999999998</c:v>
                </c:pt>
                <c:pt idx="96">
                  <c:v>1577400</c:v>
                </c:pt>
                <c:pt idx="102">
                  <c:v>4854700</c:v>
                </c:pt>
                <c:pt idx="108">
                  <c:v>8194699.9999999991</c:v>
                </c:pt>
                <c:pt idx="110">
                  <c:v>10713600</c:v>
                </c:pt>
                <c:pt idx="115">
                  <c:v>14216099.999999996</c:v>
                </c:pt>
                <c:pt idx="121">
                  <c:v>7961500.0000000028</c:v>
                </c:pt>
                <c:pt idx="122">
                  <c:v>14556500.000000004</c:v>
                </c:pt>
                <c:pt idx="124">
                  <c:v>6214200</c:v>
                </c:pt>
                <c:pt idx="126">
                  <c:v>10502800</c:v>
                </c:pt>
                <c:pt idx="131">
                  <c:v>10484000.000000004</c:v>
                </c:pt>
                <c:pt idx="135">
                  <c:v>6275600</c:v>
                </c:pt>
                <c:pt idx="136">
                  <c:v>10205099.999999996</c:v>
                </c:pt>
                <c:pt idx="137">
                  <c:v>14171700.000000002</c:v>
                </c:pt>
                <c:pt idx="138">
                  <c:v>6163100</c:v>
                </c:pt>
                <c:pt idx="148">
                  <c:v>7430700</c:v>
                </c:pt>
                <c:pt idx="150">
                  <c:v>2503700</c:v>
                </c:pt>
                <c:pt idx="152">
                  <c:v>14792400.000000002</c:v>
                </c:pt>
                <c:pt idx="153">
                  <c:v>2120500</c:v>
                </c:pt>
                <c:pt idx="156">
                  <c:v>10117900</c:v>
                </c:pt>
                <c:pt idx="157">
                  <c:v>9866400.0000000019</c:v>
                </c:pt>
                <c:pt idx="158">
                  <c:v>9970900</c:v>
                </c:pt>
                <c:pt idx="160">
                  <c:v>4422800</c:v>
                </c:pt>
                <c:pt idx="162">
                  <c:v>8861000</c:v>
                </c:pt>
                <c:pt idx="171">
                  <c:v>7100099.9999999991</c:v>
                </c:pt>
                <c:pt idx="177">
                  <c:v>12836200</c:v>
                </c:pt>
                <c:pt idx="179">
                  <c:v>12788600.000000002</c:v>
                </c:pt>
                <c:pt idx="181">
                  <c:v>3555600</c:v>
                </c:pt>
                <c:pt idx="184">
                  <c:v>14788800.000000004</c:v>
                </c:pt>
                <c:pt idx="188">
                  <c:v>3144700</c:v>
                </c:pt>
                <c:pt idx="190">
                  <c:v>1671000</c:v>
                </c:pt>
                <c:pt idx="195">
                  <c:v>4299400</c:v>
                </c:pt>
                <c:pt idx="197">
                  <c:v>13514900.000000002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9-FC69-4028-985B-C7F88BA41CA0}"/>
            </c:ext>
          </c:extLst>
        </c:ser>
        <c:ser>
          <c:idx val="2"/>
          <c:order val="2"/>
          <c:tx>
            <c:strRef>
              <c:f>'Engagement vs ad spend as per p'!$D$1:$D$2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'Engagement vs ad spend as per p'!$A$3:$A$201</c:f>
              <c:strCache>
                <c:ptCount val="198"/>
                <c:pt idx="0">
                  <c:v>10161</c:v>
                </c:pt>
                <c:pt idx="1">
                  <c:v>10162</c:v>
                </c:pt>
                <c:pt idx="2">
                  <c:v>10541</c:v>
                </c:pt>
                <c:pt idx="3">
                  <c:v>11013</c:v>
                </c:pt>
                <c:pt idx="4">
                  <c:v>11171</c:v>
                </c:pt>
                <c:pt idx="5">
                  <c:v>11431</c:v>
                </c:pt>
                <c:pt idx="6">
                  <c:v>11619</c:v>
                </c:pt>
                <c:pt idx="7">
                  <c:v>11651</c:v>
                </c:pt>
                <c:pt idx="8">
                  <c:v>11828</c:v>
                </c:pt>
                <c:pt idx="9">
                  <c:v>12023</c:v>
                </c:pt>
                <c:pt idx="10">
                  <c:v>12096</c:v>
                </c:pt>
                <c:pt idx="11">
                  <c:v>12539</c:v>
                </c:pt>
                <c:pt idx="12">
                  <c:v>12563</c:v>
                </c:pt>
                <c:pt idx="13">
                  <c:v>12643</c:v>
                </c:pt>
                <c:pt idx="14">
                  <c:v>12839</c:v>
                </c:pt>
                <c:pt idx="15">
                  <c:v>13384</c:v>
                </c:pt>
                <c:pt idx="16">
                  <c:v>13390</c:v>
                </c:pt>
                <c:pt idx="17">
                  <c:v>13471</c:v>
                </c:pt>
                <c:pt idx="18">
                  <c:v>13586</c:v>
                </c:pt>
                <c:pt idx="19">
                  <c:v>15017</c:v>
                </c:pt>
                <c:pt idx="20">
                  <c:v>15105</c:v>
                </c:pt>
                <c:pt idx="21">
                  <c:v>15110</c:v>
                </c:pt>
                <c:pt idx="22">
                  <c:v>15347</c:v>
                </c:pt>
                <c:pt idx="23">
                  <c:v>15432</c:v>
                </c:pt>
                <c:pt idx="24">
                  <c:v>15469</c:v>
                </c:pt>
                <c:pt idx="25">
                  <c:v>15997</c:v>
                </c:pt>
                <c:pt idx="26">
                  <c:v>16256</c:v>
                </c:pt>
                <c:pt idx="27">
                  <c:v>16397</c:v>
                </c:pt>
                <c:pt idx="28">
                  <c:v>16643</c:v>
                </c:pt>
                <c:pt idx="29">
                  <c:v>17531</c:v>
                </c:pt>
                <c:pt idx="30">
                  <c:v>17710</c:v>
                </c:pt>
                <c:pt idx="31">
                  <c:v>17736</c:v>
                </c:pt>
                <c:pt idx="32">
                  <c:v>17896</c:v>
                </c:pt>
                <c:pt idx="33">
                  <c:v>17909</c:v>
                </c:pt>
                <c:pt idx="34">
                  <c:v>17927</c:v>
                </c:pt>
                <c:pt idx="35">
                  <c:v>17999</c:v>
                </c:pt>
                <c:pt idx="36">
                  <c:v>18329</c:v>
                </c:pt>
                <c:pt idx="37">
                  <c:v>18461</c:v>
                </c:pt>
                <c:pt idx="38">
                  <c:v>19067</c:v>
                </c:pt>
                <c:pt idx="39">
                  <c:v>19435</c:v>
                </c:pt>
                <c:pt idx="40">
                  <c:v>19518</c:v>
                </c:pt>
                <c:pt idx="41">
                  <c:v>19557</c:v>
                </c:pt>
                <c:pt idx="42">
                  <c:v>19596</c:v>
                </c:pt>
                <c:pt idx="43">
                  <c:v>19833</c:v>
                </c:pt>
                <c:pt idx="44">
                  <c:v>20028</c:v>
                </c:pt>
                <c:pt idx="45">
                  <c:v>20258</c:v>
                </c:pt>
                <c:pt idx="46">
                  <c:v>20720</c:v>
                </c:pt>
                <c:pt idx="47">
                  <c:v>21005</c:v>
                </c:pt>
                <c:pt idx="48">
                  <c:v>21918</c:v>
                </c:pt>
                <c:pt idx="49">
                  <c:v>21929</c:v>
                </c:pt>
                <c:pt idx="50">
                  <c:v>22087</c:v>
                </c:pt>
                <c:pt idx="51">
                  <c:v>22448</c:v>
                </c:pt>
                <c:pt idx="52">
                  <c:v>22693</c:v>
                </c:pt>
                <c:pt idx="53">
                  <c:v>23109</c:v>
                </c:pt>
                <c:pt idx="54">
                  <c:v>23428</c:v>
                </c:pt>
                <c:pt idx="55">
                  <c:v>23493</c:v>
                </c:pt>
                <c:pt idx="56">
                  <c:v>23944</c:v>
                </c:pt>
                <c:pt idx="57">
                  <c:v>23975</c:v>
                </c:pt>
                <c:pt idx="58">
                  <c:v>24226</c:v>
                </c:pt>
                <c:pt idx="59">
                  <c:v>24289</c:v>
                </c:pt>
                <c:pt idx="60">
                  <c:v>24472</c:v>
                </c:pt>
                <c:pt idx="61">
                  <c:v>24537</c:v>
                </c:pt>
                <c:pt idx="62">
                  <c:v>25078</c:v>
                </c:pt>
                <c:pt idx="63">
                  <c:v>25261</c:v>
                </c:pt>
                <c:pt idx="64">
                  <c:v>25379</c:v>
                </c:pt>
                <c:pt idx="65">
                  <c:v>25892</c:v>
                </c:pt>
                <c:pt idx="66">
                  <c:v>26029</c:v>
                </c:pt>
                <c:pt idx="67">
                  <c:v>26044</c:v>
                </c:pt>
                <c:pt idx="68">
                  <c:v>26087</c:v>
                </c:pt>
                <c:pt idx="69">
                  <c:v>26184</c:v>
                </c:pt>
                <c:pt idx="70">
                  <c:v>26370</c:v>
                </c:pt>
                <c:pt idx="71">
                  <c:v>27015</c:v>
                </c:pt>
                <c:pt idx="72">
                  <c:v>27069</c:v>
                </c:pt>
                <c:pt idx="73">
                  <c:v>27073</c:v>
                </c:pt>
                <c:pt idx="74">
                  <c:v>27081</c:v>
                </c:pt>
                <c:pt idx="75">
                  <c:v>27833</c:v>
                </c:pt>
                <c:pt idx="76">
                  <c:v>28284</c:v>
                </c:pt>
                <c:pt idx="77">
                  <c:v>28313</c:v>
                </c:pt>
                <c:pt idx="78">
                  <c:v>28394</c:v>
                </c:pt>
                <c:pt idx="79">
                  <c:v>28509</c:v>
                </c:pt>
                <c:pt idx="80">
                  <c:v>28681</c:v>
                </c:pt>
                <c:pt idx="81">
                  <c:v>28745</c:v>
                </c:pt>
                <c:pt idx="82">
                  <c:v>28994</c:v>
                </c:pt>
                <c:pt idx="83">
                  <c:v>29194</c:v>
                </c:pt>
                <c:pt idx="84">
                  <c:v>29675</c:v>
                </c:pt>
                <c:pt idx="85">
                  <c:v>29715</c:v>
                </c:pt>
                <c:pt idx="86">
                  <c:v>29873</c:v>
                </c:pt>
                <c:pt idx="87">
                  <c:v>30644</c:v>
                </c:pt>
                <c:pt idx="88">
                  <c:v>31621</c:v>
                </c:pt>
                <c:pt idx="89">
                  <c:v>31817</c:v>
                </c:pt>
                <c:pt idx="90">
                  <c:v>32436</c:v>
                </c:pt>
                <c:pt idx="91">
                  <c:v>32669</c:v>
                </c:pt>
                <c:pt idx="92">
                  <c:v>33225</c:v>
                </c:pt>
                <c:pt idx="93">
                  <c:v>33252</c:v>
                </c:pt>
                <c:pt idx="94">
                  <c:v>33284</c:v>
                </c:pt>
                <c:pt idx="95">
                  <c:v>33705</c:v>
                </c:pt>
                <c:pt idx="96">
                  <c:v>33762</c:v>
                </c:pt>
                <c:pt idx="97">
                  <c:v>33928</c:v>
                </c:pt>
                <c:pt idx="98">
                  <c:v>34286</c:v>
                </c:pt>
                <c:pt idx="99">
                  <c:v>34570</c:v>
                </c:pt>
                <c:pt idx="100">
                  <c:v>35051</c:v>
                </c:pt>
                <c:pt idx="101">
                  <c:v>35122</c:v>
                </c:pt>
                <c:pt idx="102">
                  <c:v>35279</c:v>
                </c:pt>
                <c:pt idx="103">
                  <c:v>36201</c:v>
                </c:pt>
                <c:pt idx="104">
                  <c:v>36661</c:v>
                </c:pt>
                <c:pt idx="105">
                  <c:v>37037</c:v>
                </c:pt>
                <c:pt idx="106">
                  <c:v>37386</c:v>
                </c:pt>
                <c:pt idx="107">
                  <c:v>37523</c:v>
                </c:pt>
                <c:pt idx="108">
                  <c:v>37766</c:v>
                </c:pt>
                <c:pt idx="109">
                  <c:v>38047</c:v>
                </c:pt>
                <c:pt idx="110">
                  <c:v>38228</c:v>
                </c:pt>
                <c:pt idx="111">
                  <c:v>38272</c:v>
                </c:pt>
                <c:pt idx="112">
                  <c:v>38731</c:v>
                </c:pt>
                <c:pt idx="113">
                  <c:v>38854</c:v>
                </c:pt>
                <c:pt idx="114">
                  <c:v>39197</c:v>
                </c:pt>
                <c:pt idx="115">
                  <c:v>39252</c:v>
                </c:pt>
                <c:pt idx="116">
                  <c:v>39309</c:v>
                </c:pt>
                <c:pt idx="117">
                  <c:v>39312</c:v>
                </c:pt>
                <c:pt idx="118">
                  <c:v>39411</c:v>
                </c:pt>
                <c:pt idx="119">
                  <c:v>39750</c:v>
                </c:pt>
                <c:pt idx="120">
                  <c:v>40254</c:v>
                </c:pt>
                <c:pt idx="121">
                  <c:v>40268</c:v>
                </c:pt>
                <c:pt idx="122">
                  <c:v>40314</c:v>
                </c:pt>
                <c:pt idx="123">
                  <c:v>40447</c:v>
                </c:pt>
                <c:pt idx="124">
                  <c:v>40508</c:v>
                </c:pt>
                <c:pt idx="125">
                  <c:v>40682</c:v>
                </c:pt>
                <c:pt idx="126">
                  <c:v>41358</c:v>
                </c:pt>
                <c:pt idx="127">
                  <c:v>41703</c:v>
                </c:pt>
                <c:pt idx="128">
                  <c:v>42262</c:v>
                </c:pt>
                <c:pt idx="129">
                  <c:v>42373</c:v>
                </c:pt>
                <c:pt idx="130">
                  <c:v>42591</c:v>
                </c:pt>
                <c:pt idx="131">
                  <c:v>42972</c:v>
                </c:pt>
                <c:pt idx="132">
                  <c:v>43598</c:v>
                </c:pt>
                <c:pt idx="133">
                  <c:v>43787</c:v>
                </c:pt>
                <c:pt idx="134">
                  <c:v>43848</c:v>
                </c:pt>
                <c:pt idx="135">
                  <c:v>43937</c:v>
                </c:pt>
                <c:pt idx="136">
                  <c:v>44051</c:v>
                </c:pt>
                <c:pt idx="137">
                  <c:v>44501</c:v>
                </c:pt>
                <c:pt idx="138">
                  <c:v>44521</c:v>
                </c:pt>
                <c:pt idx="139">
                  <c:v>44546</c:v>
                </c:pt>
                <c:pt idx="140">
                  <c:v>44742</c:v>
                </c:pt>
                <c:pt idx="141">
                  <c:v>44782</c:v>
                </c:pt>
                <c:pt idx="142">
                  <c:v>44865</c:v>
                </c:pt>
                <c:pt idx="143">
                  <c:v>44947</c:v>
                </c:pt>
                <c:pt idx="144">
                  <c:v>45525</c:v>
                </c:pt>
                <c:pt idx="145">
                  <c:v>46060</c:v>
                </c:pt>
                <c:pt idx="146">
                  <c:v>46727</c:v>
                </c:pt>
                <c:pt idx="147">
                  <c:v>46751</c:v>
                </c:pt>
                <c:pt idx="148">
                  <c:v>46768</c:v>
                </c:pt>
                <c:pt idx="149">
                  <c:v>47051</c:v>
                </c:pt>
                <c:pt idx="150">
                  <c:v>47481</c:v>
                </c:pt>
                <c:pt idx="151">
                  <c:v>47766</c:v>
                </c:pt>
                <c:pt idx="152">
                  <c:v>47804</c:v>
                </c:pt>
                <c:pt idx="153">
                  <c:v>47861</c:v>
                </c:pt>
                <c:pt idx="154">
                  <c:v>48019</c:v>
                </c:pt>
                <c:pt idx="155">
                  <c:v>48328</c:v>
                </c:pt>
                <c:pt idx="156">
                  <c:v>48356</c:v>
                </c:pt>
                <c:pt idx="157">
                  <c:v>48659</c:v>
                </c:pt>
                <c:pt idx="158">
                  <c:v>49110</c:v>
                </c:pt>
                <c:pt idx="159">
                  <c:v>50372</c:v>
                </c:pt>
                <c:pt idx="160">
                  <c:v>50785</c:v>
                </c:pt>
                <c:pt idx="161">
                  <c:v>51796</c:v>
                </c:pt>
                <c:pt idx="162">
                  <c:v>51800</c:v>
                </c:pt>
                <c:pt idx="163">
                  <c:v>51903</c:v>
                </c:pt>
                <c:pt idx="164">
                  <c:v>52003</c:v>
                </c:pt>
                <c:pt idx="165">
                  <c:v>52092</c:v>
                </c:pt>
                <c:pt idx="166">
                  <c:v>52821</c:v>
                </c:pt>
                <c:pt idx="167">
                  <c:v>52845</c:v>
                </c:pt>
                <c:pt idx="168">
                  <c:v>52963</c:v>
                </c:pt>
                <c:pt idx="169">
                  <c:v>53363</c:v>
                </c:pt>
                <c:pt idx="170">
                  <c:v>53543</c:v>
                </c:pt>
                <c:pt idx="171">
                  <c:v>53590</c:v>
                </c:pt>
                <c:pt idx="172">
                  <c:v>53619</c:v>
                </c:pt>
                <c:pt idx="173">
                  <c:v>53922</c:v>
                </c:pt>
                <c:pt idx="174">
                  <c:v>53934</c:v>
                </c:pt>
                <c:pt idx="175">
                  <c:v>54848</c:v>
                </c:pt>
                <c:pt idx="176">
                  <c:v>55253</c:v>
                </c:pt>
                <c:pt idx="177">
                  <c:v>55603</c:v>
                </c:pt>
                <c:pt idx="178">
                  <c:v>55657</c:v>
                </c:pt>
                <c:pt idx="179">
                  <c:v>55951</c:v>
                </c:pt>
                <c:pt idx="180">
                  <c:v>56026</c:v>
                </c:pt>
                <c:pt idx="181">
                  <c:v>56698</c:v>
                </c:pt>
                <c:pt idx="182">
                  <c:v>56850</c:v>
                </c:pt>
                <c:pt idx="183">
                  <c:v>56907</c:v>
                </c:pt>
                <c:pt idx="184">
                  <c:v>57299</c:v>
                </c:pt>
                <c:pt idx="185">
                  <c:v>57639</c:v>
                </c:pt>
                <c:pt idx="186">
                  <c:v>58201</c:v>
                </c:pt>
                <c:pt idx="187">
                  <c:v>58330</c:v>
                </c:pt>
                <c:pt idx="188">
                  <c:v>58709</c:v>
                </c:pt>
                <c:pt idx="189">
                  <c:v>58831</c:v>
                </c:pt>
                <c:pt idx="190">
                  <c:v>58868</c:v>
                </c:pt>
                <c:pt idx="191">
                  <c:v>58998</c:v>
                </c:pt>
                <c:pt idx="192">
                  <c:v>59378</c:v>
                </c:pt>
                <c:pt idx="193">
                  <c:v>59733</c:v>
                </c:pt>
                <c:pt idx="194">
                  <c:v>59745</c:v>
                </c:pt>
                <c:pt idx="195">
                  <c:v>59811</c:v>
                </c:pt>
                <c:pt idx="196">
                  <c:v>59815</c:v>
                </c:pt>
                <c:pt idx="197">
                  <c:v>59823</c:v>
                </c:pt>
              </c:strCache>
            </c:strRef>
          </c:cat>
          <c:val>
            <c:numRef>
              <c:f>'Engagement vs ad spend as per p'!$D$3:$D$201</c:f>
              <c:numCache>
                <c:formatCode>General</c:formatCode>
                <c:ptCount val="198"/>
                <c:pt idx="9">
                  <c:v>5197099.9999999991</c:v>
                </c:pt>
                <c:pt idx="11">
                  <c:v>13688800.000000006</c:v>
                </c:pt>
                <c:pt idx="15">
                  <c:v>5878100.0000000009</c:v>
                </c:pt>
                <c:pt idx="16">
                  <c:v>9908700</c:v>
                </c:pt>
                <c:pt idx="18">
                  <c:v>6782799.9999999991</c:v>
                </c:pt>
                <c:pt idx="29">
                  <c:v>13668800.000000002</c:v>
                </c:pt>
                <c:pt idx="30">
                  <c:v>3274600</c:v>
                </c:pt>
                <c:pt idx="38">
                  <c:v>8456700</c:v>
                </c:pt>
                <c:pt idx="40">
                  <c:v>14219699.999999998</c:v>
                </c:pt>
                <c:pt idx="45">
                  <c:v>13557600.000000002</c:v>
                </c:pt>
                <c:pt idx="46">
                  <c:v>4185200.0000000005</c:v>
                </c:pt>
                <c:pt idx="48">
                  <c:v>9176800</c:v>
                </c:pt>
                <c:pt idx="49">
                  <c:v>6486899.9999999991</c:v>
                </c:pt>
                <c:pt idx="50">
                  <c:v>8870700.0000000019</c:v>
                </c:pt>
                <c:pt idx="57">
                  <c:v>6880999.9999999991</c:v>
                </c:pt>
                <c:pt idx="63">
                  <c:v>1265900</c:v>
                </c:pt>
                <c:pt idx="70">
                  <c:v>9796900.0000000019</c:v>
                </c:pt>
                <c:pt idx="71">
                  <c:v>2835100.0000000009</c:v>
                </c:pt>
                <c:pt idx="79">
                  <c:v>13223200.000000004</c:v>
                </c:pt>
                <c:pt idx="80">
                  <c:v>5347200</c:v>
                </c:pt>
                <c:pt idx="86">
                  <c:v>7726300</c:v>
                </c:pt>
                <c:pt idx="92">
                  <c:v>4799099.9999999991</c:v>
                </c:pt>
                <c:pt idx="95">
                  <c:v>11041700</c:v>
                </c:pt>
                <c:pt idx="98">
                  <c:v>7387000</c:v>
                </c:pt>
                <c:pt idx="99">
                  <c:v>9424600.0000000019</c:v>
                </c:pt>
                <c:pt idx="100">
                  <c:v>1128300.0000000002</c:v>
                </c:pt>
                <c:pt idx="103">
                  <c:v>9795999.9999999981</c:v>
                </c:pt>
                <c:pt idx="107">
                  <c:v>9025700.0000000019</c:v>
                </c:pt>
                <c:pt idx="109">
                  <c:v>1507500.0000000002</c:v>
                </c:pt>
                <c:pt idx="113">
                  <c:v>11548700.000000002</c:v>
                </c:pt>
                <c:pt idx="116">
                  <c:v>6507700</c:v>
                </c:pt>
                <c:pt idx="117">
                  <c:v>11986900</c:v>
                </c:pt>
                <c:pt idx="120">
                  <c:v>9183499.9999999981</c:v>
                </c:pt>
                <c:pt idx="123">
                  <c:v>10775599.999999998</c:v>
                </c:pt>
                <c:pt idx="125">
                  <c:v>5673300</c:v>
                </c:pt>
                <c:pt idx="127">
                  <c:v>1988500</c:v>
                </c:pt>
                <c:pt idx="130">
                  <c:v>2528200</c:v>
                </c:pt>
                <c:pt idx="134">
                  <c:v>11385000</c:v>
                </c:pt>
                <c:pt idx="139">
                  <c:v>2870800.0000000005</c:v>
                </c:pt>
                <c:pt idx="143">
                  <c:v>10633400</c:v>
                </c:pt>
                <c:pt idx="145">
                  <c:v>4324300.0000000019</c:v>
                </c:pt>
                <c:pt idx="146">
                  <c:v>7309500.0000000009</c:v>
                </c:pt>
                <c:pt idx="161">
                  <c:v>2276300</c:v>
                </c:pt>
                <c:pt idx="164">
                  <c:v>12458600.000000002</c:v>
                </c:pt>
                <c:pt idx="166">
                  <c:v>10869600.000000002</c:v>
                </c:pt>
                <c:pt idx="169">
                  <c:v>3879500.0000000005</c:v>
                </c:pt>
                <c:pt idx="172">
                  <c:v>6379800</c:v>
                </c:pt>
                <c:pt idx="174">
                  <c:v>1590600</c:v>
                </c:pt>
                <c:pt idx="180">
                  <c:v>3617000</c:v>
                </c:pt>
                <c:pt idx="183">
                  <c:v>6029000</c:v>
                </c:pt>
                <c:pt idx="185">
                  <c:v>1682300</c:v>
                </c:pt>
                <c:pt idx="191">
                  <c:v>5373200</c:v>
                </c:pt>
                <c:pt idx="194">
                  <c:v>14297000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A-FC69-4028-985B-C7F88BA41CA0}"/>
            </c:ext>
          </c:extLst>
        </c:ser>
        <c:ser>
          <c:idx val="3"/>
          <c:order val="3"/>
          <c:tx>
            <c:strRef>
              <c:f>'Engagement vs ad spend as per p'!$E$1:$E$2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'Engagement vs ad spend as per p'!$A$3:$A$201</c:f>
              <c:strCache>
                <c:ptCount val="198"/>
                <c:pt idx="0">
                  <c:v>10161</c:v>
                </c:pt>
                <c:pt idx="1">
                  <c:v>10162</c:v>
                </c:pt>
                <c:pt idx="2">
                  <c:v>10541</c:v>
                </c:pt>
                <c:pt idx="3">
                  <c:v>11013</c:v>
                </c:pt>
                <c:pt idx="4">
                  <c:v>11171</c:v>
                </c:pt>
                <c:pt idx="5">
                  <c:v>11431</c:v>
                </c:pt>
                <c:pt idx="6">
                  <c:v>11619</c:v>
                </c:pt>
                <c:pt idx="7">
                  <c:v>11651</c:v>
                </c:pt>
                <c:pt idx="8">
                  <c:v>11828</c:v>
                </c:pt>
                <c:pt idx="9">
                  <c:v>12023</c:v>
                </c:pt>
                <c:pt idx="10">
                  <c:v>12096</c:v>
                </c:pt>
                <c:pt idx="11">
                  <c:v>12539</c:v>
                </c:pt>
                <c:pt idx="12">
                  <c:v>12563</c:v>
                </c:pt>
                <c:pt idx="13">
                  <c:v>12643</c:v>
                </c:pt>
                <c:pt idx="14">
                  <c:v>12839</c:v>
                </c:pt>
                <c:pt idx="15">
                  <c:v>13384</c:v>
                </c:pt>
                <c:pt idx="16">
                  <c:v>13390</c:v>
                </c:pt>
                <c:pt idx="17">
                  <c:v>13471</c:v>
                </c:pt>
                <c:pt idx="18">
                  <c:v>13586</c:v>
                </c:pt>
                <c:pt idx="19">
                  <c:v>15017</c:v>
                </c:pt>
                <c:pt idx="20">
                  <c:v>15105</c:v>
                </c:pt>
                <c:pt idx="21">
                  <c:v>15110</c:v>
                </c:pt>
                <c:pt idx="22">
                  <c:v>15347</c:v>
                </c:pt>
                <c:pt idx="23">
                  <c:v>15432</c:v>
                </c:pt>
                <c:pt idx="24">
                  <c:v>15469</c:v>
                </c:pt>
                <c:pt idx="25">
                  <c:v>15997</c:v>
                </c:pt>
                <c:pt idx="26">
                  <c:v>16256</c:v>
                </c:pt>
                <c:pt idx="27">
                  <c:v>16397</c:v>
                </c:pt>
                <c:pt idx="28">
                  <c:v>16643</c:v>
                </c:pt>
                <c:pt idx="29">
                  <c:v>17531</c:v>
                </c:pt>
                <c:pt idx="30">
                  <c:v>17710</c:v>
                </c:pt>
                <c:pt idx="31">
                  <c:v>17736</c:v>
                </c:pt>
                <c:pt idx="32">
                  <c:v>17896</c:v>
                </c:pt>
                <c:pt idx="33">
                  <c:v>17909</c:v>
                </c:pt>
                <c:pt idx="34">
                  <c:v>17927</c:v>
                </c:pt>
                <c:pt idx="35">
                  <c:v>17999</c:v>
                </c:pt>
                <c:pt idx="36">
                  <c:v>18329</c:v>
                </c:pt>
                <c:pt idx="37">
                  <c:v>18461</c:v>
                </c:pt>
                <c:pt idx="38">
                  <c:v>19067</c:v>
                </c:pt>
                <c:pt idx="39">
                  <c:v>19435</c:v>
                </c:pt>
                <c:pt idx="40">
                  <c:v>19518</c:v>
                </c:pt>
                <c:pt idx="41">
                  <c:v>19557</c:v>
                </c:pt>
                <c:pt idx="42">
                  <c:v>19596</c:v>
                </c:pt>
                <c:pt idx="43">
                  <c:v>19833</c:v>
                </c:pt>
                <c:pt idx="44">
                  <c:v>20028</c:v>
                </c:pt>
                <c:pt idx="45">
                  <c:v>20258</c:v>
                </c:pt>
                <c:pt idx="46">
                  <c:v>20720</c:v>
                </c:pt>
                <c:pt idx="47">
                  <c:v>21005</c:v>
                </c:pt>
                <c:pt idx="48">
                  <c:v>21918</c:v>
                </c:pt>
                <c:pt idx="49">
                  <c:v>21929</c:v>
                </c:pt>
                <c:pt idx="50">
                  <c:v>22087</c:v>
                </c:pt>
                <c:pt idx="51">
                  <c:v>22448</c:v>
                </c:pt>
                <c:pt idx="52">
                  <c:v>22693</c:v>
                </c:pt>
                <c:pt idx="53">
                  <c:v>23109</c:v>
                </c:pt>
                <c:pt idx="54">
                  <c:v>23428</c:v>
                </c:pt>
                <c:pt idx="55">
                  <c:v>23493</c:v>
                </c:pt>
                <c:pt idx="56">
                  <c:v>23944</c:v>
                </c:pt>
                <c:pt idx="57">
                  <c:v>23975</c:v>
                </c:pt>
                <c:pt idx="58">
                  <c:v>24226</c:v>
                </c:pt>
                <c:pt idx="59">
                  <c:v>24289</c:v>
                </c:pt>
                <c:pt idx="60">
                  <c:v>24472</c:v>
                </c:pt>
                <c:pt idx="61">
                  <c:v>24537</c:v>
                </c:pt>
                <c:pt idx="62">
                  <c:v>25078</c:v>
                </c:pt>
                <c:pt idx="63">
                  <c:v>25261</c:v>
                </c:pt>
                <c:pt idx="64">
                  <c:v>25379</c:v>
                </c:pt>
                <c:pt idx="65">
                  <c:v>25892</c:v>
                </c:pt>
                <c:pt idx="66">
                  <c:v>26029</c:v>
                </c:pt>
                <c:pt idx="67">
                  <c:v>26044</c:v>
                </c:pt>
                <c:pt idx="68">
                  <c:v>26087</c:v>
                </c:pt>
                <c:pt idx="69">
                  <c:v>26184</c:v>
                </c:pt>
                <c:pt idx="70">
                  <c:v>26370</c:v>
                </c:pt>
                <c:pt idx="71">
                  <c:v>27015</c:v>
                </c:pt>
                <c:pt idx="72">
                  <c:v>27069</c:v>
                </c:pt>
                <c:pt idx="73">
                  <c:v>27073</c:v>
                </c:pt>
                <c:pt idx="74">
                  <c:v>27081</c:v>
                </c:pt>
                <c:pt idx="75">
                  <c:v>27833</c:v>
                </c:pt>
                <c:pt idx="76">
                  <c:v>28284</c:v>
                </c:pt>
                <c:pt idx="77">
                  <c:v>28313</c:v>
                </c:pt>
                <c:pt idx="78">
                  <c:v>28394</c:v>
                </c:pt>
                <c:pt idx="79">
                  <c:v>28509</c:v>
                </c:pt>
                <c:pt idx="80">
                  <c:v>28681</c:v>
                </c:pt>
                <c:pt idx="81">
                  <c:v>28745</c:v>
                </c:pt>
                <c:pt idx="82">
                  <c:v>28994</c:v>
                </c:pt>
                <c:pt idx="83">
                  <c:v>29194</c:v>
                </c:pt>
                <c:pt idx="84">
                  <c:v>29675</c:v>
                </c:pt>
                <c:pt idx="85">
                  <c:v>29715</c:v>
                </c:pt>
                <c:pt idx="86">
                  <c:v>29873</c:v>
                </c:pt>
                <c:pt idx="87">
                  <c:v>30644</c:v>
                </c:pt>
                <c:pt idx="88">
                  <c:v>31621</c:v>
                </c:pt>
                <c:pt idx="89">
                  <c:v>31817</c:v>
                </c:pt>
                <c:pt idx="90">
                  <c:v>32436</c:v>
                </c:pt>
                <c:pt idx="91">
                  <c:v>32669</c:v>
                </c:pt>
                <c:pt idx="92">
                  <c:v>33225</c:v>
                </c:pt>
                <c:pt idx="93">
                  <c:v>33252</c:v>
                </c:pt>
                <c:pt idx="94">
                  <c:v>33284</c:v>
                </c:pt>
                <c:pt idx="95">
                  <c:v>33705</c:v>
                </c:pt>
                <c:pt idx="96">
                  <c:v>33762</c:v>
                </c:pt>
                <c:pt idx="97">
                  <c:v>33928</c:v>
                </c:pt>
                <c:pt idx="98">
                  <c:v>34286</c:v>
                </c:pt>
                <c:pt idx="99">
                  <c:v>34570</c:v>
                </c:pt>
                <c:pt idx="100">
                  <c:v>35051</c:v>
                </c:pt>
                <c:pt idx="101">
                  <c:v>35122</c:v>
                </c:pt>
                <c:pt idx="102">
                  <c:v>35279</c:v>
                </c:pt>
                <c:pt idx="103">
                  <c:v>36201</c:v>
                </c:pt>
                <c:pt idx="104">
                  <c:v>36661</c:v>
                </c:pt>
                <c:pt idx="105">
                  <c:v>37037</c:v>
                </c:pt>
                <c:pt idx="106">
                  <c:v>37386</c:v>
                </c:pt>
                <c:pt idx="107">
                  <c:v>37523</c:v>
                </c:pt>
                <c:pt idx="108">
                  <c:v>37766</c:v>
                </c:pt>
                <c:pt idx="109">
                  <c:v>38047</c:v>
                </c:pt>
                <c:pt idx="110">
                  <c:v>38228</c:v>
                </c:pt>
                <c:pt idx="111">
                  <c:v>38272</c:v>
                </c:pt>
                <c:pt idx="112">
                  <c:v>38731</c:v>
                </c:pt>
                <c:pt idx="113">
                  <c:v>38854</c:v>
                </c:pt>
                <c:pt idx="114">
                  <c:v>39197</c:v>
                </c:pt>
                <c:pt idx="115">
                  <c:v>39252</c:v>
                </c:pt>
                <c:pt idx="116">
                  <c:v>39309</c:v>
                </c:pt>
                <c:pt idx="117">
                  <c:v>39312</c:v>
                </c:pt>
                <c:pt idx="118">
                  <c:v>39411</c:v>
                </c:pt>
                <c:pt idx="119">
                  <c:v>39750</c:v>
                </c:pt>
                <c:pt idx="120">
                  <c:v>40254</c:v>
                </c:pt>
                <c:pt idx="121">
                  <c:v>40268</c:v>
                </c:pt>
                <c:pt idx="122">
                  <c:v>40314</c:v>
                </c:pt>
                <c:pt idx="123">
                  <c:v>40447</c:v>
                </c:pt>
                <c:pt idx="124">
                  <c:v>40508</c:v>
                </c:pt>
                <c:pt idx="125">
                  <c:v>40682</c:v>
                </c:pt>
                <c:pt idx="126">
                  <c:v>41358</c:v>
                </c:pt>
                <c:pt idx="127">
                  <c:v>41703</c:v>
                </c:pt>
                <c:pt idx="128">
                  <c:v>42262</c:v>
                </c:pt>
                <c:pt idx="129">
                  <c:v>42373</c:v>
                </c:pt>
                <c:pt idx="130">
                  <c:v>42591</c:v>
                </c:pt>
                <c:pt idx="131">
                  <c:v>42972</c:v>
                </c:pt>
                <c:pt idx="132">
                  <c:v>43598</c:v>
                </c:pt>
                <c:pt idx="133">
                  <c:v>43787</c:v>
                </c:pt>
                <c:pt idx="134">
                  <c:v>43848</c:v>
                </c:pt>
                <c:pt idx="135">
                  <c:v>43937</c:v>
                </c:pt>
                <c:pt idx="136">
                  <c:v>44051</c:v>
                </c:pt>
                <c:pt idx="137">
                  <c:v>44501</c:v>
                </c:pt>
                <c:pt idx="138">
                  <c:v>44521</c:v>
                </c:pt>
                <c:pt idx="139">
                  <c:v>44546</c:v>
                </c:pt>
                <c:pt idx="140">
                  <c:v>44742</c:v>
                </c:pt>
                <c:pt idx="141">
                  <c:v>44782</c:v>
                </c:pt>
                <c:pt idx="142">
                  <c:v>44865</c:v>
                </c:pt>
                <c:pt idx="143">
                  <c:v>44947</c:v>
                </c:pt>
                <c:pt idx="144">
                  <c:v>45525</c:v>
                </c:pt>
                <c:pt idx="145">
                  <c:v>46060</c:v>
                </c:pt>
                <c:pt idx="146">
                  <c:v>46727</c:v>
                </c:pt>
                <c:pt idx="147">
                  <c:v>46751</c:v>
                </c:pt>
                <c:pt idx="148">
                  <c:v>46768</c:v>
                </c:pt>
                <c:pt idx="149">
                  <c:v>47051</c:v>
                </c:pt>
                <c:pt idx="150">
                  <c:v>47481</c:v>
                </c:pt>
                <c:pt idx="151">
                  <c:v>47766</c:v>
                </c:pt>
                <c:pt idx="152">
                  <c:v>47804</c:v>
                </c:pt>
                <c:pt idx="153">
                  <c:v>47861</c:v>
                </c:pt>
                <c:pt idx="154">
                  <c:v>48019</c:v>
                </c:pt>
                <c:pt idx="155">
                  <c:v>48328</c:v>
                </c:pt>
                <c:pt idx="156">
                  <c:v>48356</c:v>
                </c:pt>
                <c:pt idx="157">
                  <c:v>48659</c:v>
                </c:pt>
                <c:pt idx="158">
                  <c:v>49110</c:v>
                </c:pt>
                <c:pt idx="159">
                  <c:v>50372</c:v>
                </c:pt>
                <c:pt idx="160">
                  <c:v>50785</c:v>
                </c:pt>
                <c:pt idx="161">
                  <c:v>51796</c:v>
                </c:pt>
                <c:pt idx="162">
                  <c:v>51800</c:v>
                </c:pt>
                <c:pt idx="163">
                  <c:v>51903</c:v>
                </c:pt>
                <c:pt idx="164">
                  <c:v>52003</c:v>
                </c:pt>
                <c:pt idx="165">
                  <c:v>52092</c:v>
                </c:pt>
                <c:pt idx="166">
                  <c:v>52821</c:v>
                </c:pt>
                <c:pt idx="167">
                  <c:v>52845</c:v>
                </c:pt>
                <c:pt idx="168">
                  <c:v>52963</c:v>
                </c:pt>
                <c:pt idx="169">
                  <c:v>53363</c:v>
                </c:pt>
                <c:pt idx="170">
                  <c:v>53543</c:v>
                </c:pt>
                <c:pt idx="171">
                  <c:v>53590</c:v>
                </c:pt>
                <c:pt idx="172">
                  <c:v>53619</c:v>
                </c:pt>
                <c:pt idx="173">
                  <c:v>53922</c:v>
                </c:pt>
                <c:pt idx="174">
                  <c:v>53934</c:v>
                </c:pt>
                <c:pt idx="175">
                  <c:v>54848</c:v>
                </c:pt>
                <c:pt idx="176">
                  <c:v>55253</c:v>
                </c:pt>
                <c:pt idx="177">
                  <c:v>55603</c:v>
                </c:pt>
                <c:pt idx="178">
                  <c:v>55657</c:v>
                </c:pt>
                <c:pt idx="179">
                  <c:v>55951</c:v>
                </c:pt>
                <c:pt idx="180">
                  <c:v>56026</c:v>
                </c:pt>
                <c:pt idx="181">
                  <c:v>56698</c:v>
                </c:pt>
                <c:pt idx="182">
                  <c:v>56850</c:v>
                </c:pt>
                <c:pt idx="183">
                  <c:v>56907</c:v>
                </c:pt>
                <c:pt idx="184">
                  <c:v>57299</c:v>
                </c:pt>
                <c:pt idx="185">
                  <c:v>57639</c:v>
                </c:pt>
                <c:pt idx="186">
                  <c:v>58201</c:v>
                </c:pt>
                <c:pt idx="187">
                  <c:v>58330</c:v>
                </c:pt>
                <c:pt idx="188">
                  <c:v>58709</c:v>
                </c:pt>
                <c:pt idx="189">
                  <c:v>58831</c:v>
                </c:pt>
                <c:pt idx="190">
                  <c:v>58868</c:v>
                </c:pt>
                <c:pt idx="191">
                  <c:v>58998</c:v>
                </c:pt>
                <c:pt idx="192">
                  <c:v>59378</c:v>
                </c:pt>
                <c:pt idx="193">
                  <c:v>59733</c:v>
                </c:pt>
                <c:pt idx="194">
                  <c:v>59745</c:v>
                </c:pt>
                <c:pt idx="195">
                  <c:v>59811</c:v>
                </c:pt>
                <c:pt idx="196">
                  <c:v>59815</c:v>
                </c:pt>
                <c:pt idx="197">
                  <c:v>59823</c:v>
                </c:pt>
              </c:strCache>
            </c:strRef>
          </c:cat>
          <c:val>
            <c:numRef>
              <c:f>'Engagement vs ad spend as per p'!$E$3:$E$201</c:f>
              <c:numCache>
                <c:formatCode>General</c:formatCode>
                <c:ptCount val="198"/>
                <c:pt idx="0">
                  <c:v>7579400.0000000009</c:v>
                </c:pt>
                <c:pt idx="1">
                  <c:v>14954400.000000004</c:v>
                </c:pt>
                <c:pt idx="6">
                  <c:v>7799000</c:v>
                </c:pt>
                <c:pt idx="7">
                  <c:v>12905200</c:v>
                </c:pt>
                <c:pt idx="12">
                  <c:v>13277499.999999998</c:v>
                </c:pt>
                <c:pt idx="13">
                  <c:v>6008500.0000000019</c:v>
                </c:pt>
                <c:pt idx="14">
                  <c:v>14925100.000000004</c:v>
                </c:pt>
                <c:pt idx="28">
                  <c:v>9544500</c:v>
                </c:pt>
                <c:pt idx="31">
                  <c:v>8295400</c:v>
                </c:pt>
                <c:pt idx="43">
                  <c:v>2100200.0000000005</c:v>
                </c:pt>
                <c:pt idx="47">
                  <c:v>1653000</c:v>
                </c:pt>
                <c:pt idx="51">
                  <c:v>6542600.0000000009</c:v>
                </c:pt>
                <c:pt idx="54">
                  <c:v>13466100.000000002</c:v>
                </c:pt>
                <c:pt idx="55">
                  <c:v>6093900</c:v>
                </c:pt>
                <c:pt idx="61">
                  <c:v>2865800.0000000014</c:v>
                </c:pt>
                <c:pt idx="64">
                  <c:v>14362299.999999998</c:v>
                </c:pt>
                <c:pt idx="65">
                  <c:v>6971100</c:v>
                </c:pt>
                <c:pt idx="68">
                  <c:v>14831100</c:v>
                </c:pt>
                <c:pt idx="73">
                  <c:v>8717500</c:v>
                </c:pt>
                <c:pt idx="78">
                  <c:v>10566500.000000004</c:v>
                </c:pt>
                <c:pt idx="82">
                  <c:v>9155700.0000000037</c:v>
                </c:pt>
                <c:pt idx="84">
                  <c:v>4451800.0000000009</c:v>
                </c:pt>
                <c:pt idx="85">
                  <c:v>7327799.9999999991</c:v>
                </c:pt>
                <c:pt idx="89">
                  <c:v>4990099.9999999981</c:v>
                </c:pt>
                <c:pt idx="91">
                  <c:v>8091000</c:v>
                </c:pt>
                <c:pt idx="97">
                  <c:v>2080000</c:v>
                </c:pt>
                <c:pt idx="106">
                  <c:v>4369100</c:v>
                </c:pt>
                <c:pt idx="111">
                  <c:v>6904199.9999999972</c:v>
                </c:pt>
                <c:pt idx="112">
                  <c:v>14770099.999999998</c:v>
                </c:pt>
                <c:pt idx="132">
                  <c:v>12535700</c:v>
                </c:pt>
                <c:pt idx="133">
                  <c:v>3009499.9999999995</c:v>
                </c:pt>
                <c:pt idx="144">
                  <c:v>11539999.999999998</c:v>
                </c:pt>
                <c:pt idx="147">
                  <c:v>7387799.9999999991</c:v>
                </c:pt>
                <c:pt idx="151">
                  <c:v>1878700.0000000005</c:v>
                </c:pt>
                <c:pt idx="154">
                  <c:v>1078100</c:v>
                </c:pt>
                <c:pt idx="159">
                  <c:v>11015800</c:v>
                </c:pt>
                <c:pt idx="165">
                  <c:v>3007399.9999999995</c:v>
                </c:pt>
                <c:pt idx="168">
                  <c:v>7749400.0000000009</c:v>
                </c:pt>
                <c:pt idx="176">
                  <c:v>3681899.9999999995</c:v>
                </c:pt>
                <c:pt idx="178">
                  <c:v>1934599.9999999995</c:v>
                </c:pt>
                <c:pt idx="196">
                  <c:v>2707100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B-FC69-4028-985B-C7F88BA41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6405520"/>
        <c:axId val="1916424720"/>
      </c:barChart>
      <c:catAx>
        <c:axId val="191640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424720"/>
        <c:crosses val="autoZero"/>
        <c:auto val="1"/>
        <c:lblAlgn val="ctr"/>
        <c:lblOffset val="100"/>
        <c:noMultiLvlLbl val="0"/>
      </c:catAx>
      <c:valAx>
        <c:axId val="191642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40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Data.xlsx]Frequently used hashtags!PivotTable3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'Frequently used hashtags'!$B$1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'Frequently used hashtags'!$A$2:$A$14</c:f>
              <c:strCache>
                <c:ptCount val="12"/>
                <c:pt idx="0">
                  <c:v>#AppleDesign #Innovation</c:v>
                </c:pt>
                <c:pt idx="1">
                  <c:v>#AppleEvent #iPadPro</c:v>
                </c:pt>
                <c:pt idx="2">
                  <c:v>#AppleEvent #iPhone16</c:v>
                </c:pt>
                <c:pt idx="3">
                  <c:v>#AppleMusic #AppleLifestyle</c:v>
                </c:pt>
                <c:pt idx="4">
                  <c:v>#AppleWatch #Health</c:v>
                </c:pt>
                <c:pt idx="5">
                  <c:v>#AppleWatchUltra2 #HealthTech</c:v>
                </c:pt>
                <c:pt idx="6">
                  <c:v>#iPhone16Launch #AppleEvent</c:v>
                </c:pt>
                <c:pt idx="7">
                  <c:v>#iPhonePhotography #ShotOniPhone</c:v>
                </c:pt>
                <c:pt idx="8">
                  <c:v>#MacBookAirM3 #AppleInnovation</c:v>
                </c:pt>
                <c:pt idx="9">
                  <c:v>#MacBookProM3</c:v>
                </c:pt>
                <c:pt idx="10">
                  <c:v>#ShotOniPhone</c:v>
                </c:pt>
                <c:pt idx="11">
                  <c:v>#Sustainability #AppleEarth</c:v>
                </c:pt>
              </c:strCache>
            </c:strRef>
          </c:cat>
          <c:val>
            <c:numRef>
              <c:f>'Frequently used hashtags'!$B$2:$B$14</c:f>
              <c:numCache>
                <c:formatCode>General</c:formatCode>
                <c:ptCount val="12"/>
                <c:pt idx="0">
                  <c:v>25</c:v>
                </c:pt>
                <c:pt idx="1">
                  <c:v>19</c:v>
                </c:pt>
                <c:pt idx="2">
                  <c:v>32</c:v>
                </c:pt>
                <c:pt idx="3">
                  <c:v>34</c:v>
                </c:pt>
                <c:pt idx="4">
                  <c:v>37</c:v>
                </c:pt>
                <c:pt idx="5">
                  <c:v>25</c:v>
                </c:pt>
                <c:pt idx="6">
                  <c:v>29</c:v>
                </c:pt>
                <c:pt idx="7">
                  <c:v>25</c:v>
                </c:pt>
                <c:pt idx="8">
                  <c:v>28</c:v>
                </c:pt>
                <c:pt idx="9">
                  <c:v>17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E-46DC-BCC3-3FCEE210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972975"/>
        <c:axId val="662987375"/>
      </c:barChart>
      <c:catAx>
        <c:axId val="66297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87375"/>
        <c:crosses val="autoZero"/>
        <c:auto val="1"/>
        <c:lblAlgn val="ctr"/>
        <c:lblOffset val="100"/>
        <c:noMultiLvlLbl val="0"/>
      </c:catAx>
      <c:valAx>
        <c:axId val="66298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7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Data.xlsx]average performance of posts!PivotTable4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performance of posts'!$B$1</c:f>
              <c:strCache>
                <c:ptCount val="1"/>
                <c:pt idx="0">
                  <c:v>Average of Comments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performance of posts'!$A$2:$A$14</c:f>
              <c:strCache>
                <c:ptCount val="12"/>
                <c:pt idx="0">
                  <c:v>#AppleDesign #Innovation</c:v>
                </c:pt>
                <c:pt idx="1">
                  <c:v>#AppleEvent #iPadPro</c:v>
                </c:pt>
                <c:pt idx="2">
                  <c:v>#AppleEvent #iPhone16</c:v>
                </c:pt>
                <c:pt idx="3">
                  <c:v>#AppleMusic #AppleLifestyle</c:v>
                </c:pt>
                <c:pt idx="4">
                  <c:v>#AppleWatch #Health</c:v>
                </c:pt>
                <c:pt idx="5">
                  <c:v>#AppleWatchUltra2 #HealthTech</c:v>
                </c:pt>
                <c:pt idx="6">
                  <c:v>#iPhone16Launch #AppleEvent</c:v>
                </c:pt>
                <c:pt idx="7">
                  <c:v>#iPhonePhotography #ShotOniPhone</c:v>
                </c:pt>
                <c:pt idx="8">
                  <c:v>#MacBookAirM3 #AppleInnovation</c:v>
                </c:pt>
                <c:pt idx="9">
                  <c:v>#MacBookProM3</c:v>
                </c:pt>
                <c:pt idx="10">
                  <c:v>#ShotOniPhone</c:v>
                </c:pt>
                <c:pt idx="11">
                  <c:v>#Sustainability #AppleEarth</c:v>
                </c:pt>
              </c:strCache>
            </c:strRef>
          </c:cat>
          <c:val>
            <c:numRef>
              <c:f>'average performance of posts'!$B$2:$B$14</c:f>
              <c:numCache>
                <c:formatCode>0</c:formatCode>
                <c:ptCount val="12"/>
                <c:pt idx="0">
                  <c:v>637.55999999999995</c:v>
                </c:pt>
                <c:pt idx="1">
                  <c:v>535.68421052631584</c:v>
                </c:pt>
                <c:pt idx="2">
                  <c:v>567.59375</c:v>
                </c:pt>
                <c:pt idx="3">
                  <c:v>584.76470588235293</c:v>
                </c:pt>
                <c:pt idx="4">
                  <c:v>576.91891891891896</c:v>
                </c:pt>
                <c:pt idx="5">
                  <c:v>560.12</c:v>
                </c:pt>
                <c:pt idx="6">
                  <c:v>541.13793103448279</c:v>
                </c:pt>
                <c:pt idx="7">
                  <c:v>562.12</c:v>
                </c:pt>
                <c:pt idx="8">
                  <c:v>531.75</c:v>
                </c:pt>
                <c:pt idx="9">
                  <c:v>626.05882352941171</c:v>
                </c:pt>
                <c:pt idx="10">
                  <c:v>574.875</c:v>
                </c:pt>
                <c:pt idx="11">
                  <c:v>646.23076923076928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1-4E67-A1F9-64F132B2CA48}"/>
            </c:ext>
          </c:extLst>
        </c:ser>
        <c:ser>
          <c:idx val="1"/>
          <c:order val="1"/>
          <c:tx>
            <c:strRef>
              <c:f>'average performance of posts'!$C$1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performance of posts'!$A$2:$A$14</c:f>
              <c:strCache>
                <c:ptCount val="12"/>
                <c:pt idx="0">
                  <c:v>#AppleDesign #Innovation</c:v>
                </c:pt>
                <c:pt idx="1">
                  <c:v>#AppleEvent #iPadPro</c:v>
                </c:pt>
                <c:pt idx="2">
                  <c:v>#AppleEvent #iPhone16</c:v>
                </c:pt>
                <c:pt idx="3">
                  <c:v>#AppleMusic #AppleLifestyle</c:v>
                </c:pt>
                <c:pt idx="4">
                  <c:v>#AppleWatch #Health</c:v>
                </c:pt>
                <c:pt idx="5">
                  <c:v>#AppleWatchUltra2 #HealthTech</c:v>
                </c:pt>
                <c:pt idx="6">
                  <c:v>#iPhone16Launch #AppleEvent</c:v>
                </c:pt>
                <c:pt idx="7">
                  <c:v>#iPhonePhotography #ShotOniPhone</c:v>
                </c:pt>
                <c:pt idx="8">
                  <c:v>#MacBookAirM3 #AppleInnovation</c:v>
                </c:pt>
                <c:pt idx="9">
                  <c:v>#MacBookProM3</c:v>
                </c:pt>
                <c:pt idx="10">
                  <c:v>#ShotOniPhone</c:v>
                </c:pt>
                <c:pt idx="11">
                  <c:v>#Sustainability #AppleEarth</c:v>
                </c:pt>
              </c:strCache>
            </c:strRef>
          </c:cat>
          <c:val>
            <c:numRef>
              <c:f>'average performance of posts'!$C$2:$C$14</c:f>
              <c:numCache>
                <c:formatCode>0</c:formatCode>
                <c:ptCount val="12"/>
                <c:pt idx="0">
                  <c:v>13327.8</c:v>
                </c:pt>
                <c:pt idx="1">
                  <c:v>12987</c:v>
                </c:pt>
                <c:pt idx="2">
                  <c:v>14262.09375</c:v>
                </c:pt>
                <c:pt idx="3">
                  <c:v>13437.176470588236</c:v>
                </c:pt>
                <c:pt idx="4">
                  <c:v>13986.108108108108</c:v>
                </c:pt>
                <c:pt idx="5">
                  <c:v>13057.88</c:v>
                </c:pt>
                <c:pt idx="6">
                  <c:v>15420.51724137931</c:v>
                </c:pt>
                <c:pt idx="7">
                  <c:v>13856.76</c:v>
                </c:pt>
                <c:pt idx="8">
                  <c:v>13015.321428571429</c:v>
                </c:pt>
                <c:pt idx="9">
                  <c:v>12777.235294117647</c:v>
                </c:pt>
                <c:pt idx="10">
                  <c:v>14377.6875</c:v>
                </c:pt>
                <c:pt idx="11">
                  <c:v>9616.3076923076915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1-4E67-A1F9-64F132B2CA48}"/>
            </c:ext>
          </c:extLst>
        </c:ser>
        <c:ser>
          <c:idx val="2"/>
          <c:order val="2"/>
          <c:tx>
            <c:strRef>
              <c:f>'average performance of posts'!$D$1</c:f>
              <c:strCache>
                <c:ptCount val="1"/>
                <c:pt idx="0">
                  <c:v>Average of Shares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'average performance of posts'!$A$2:$A$14</c:f>
              <c:strCache>
                <c:ptCount val="12"/>
                <c:pt idx="0">
                  <c:v>#AppleDesign #Innovation</c:v>
                </c:pt>
                <c:pt idx="1">
                  <c:v>#AppleEvent #iPadPro</c:v>
                </c:pt>
                <c:pt idx="2">
                  <c:v>#AppleEvent #iPhone16</c:v>
                </c:pt>
                <c:pt idx="3">
                  <c:v>#AppleMusic #AppleLifestyle</c:v>
                </c:pt>
                <c:pt idx="4">
                  <c:v>#AppleWatch #Health</c:v>
                </c:pt>
                <c:pt idx="5">
                  <c:v>#AppleWatchUltra2 #HealthTech</c:v>
                </c:pt>
                <c:pt idx="6">
                  <c:v>#iPhone16Launch #AppleEvent</c:v>
                </c:pt>
                <c:pt idx="7">
                  <c:v>#iPhonePhotography #ShotOniPhone</c:v>
                </c:pt>
                <c:pt idx="8">
                  <c:v>#MacBookAirM3 #AppleInnovation</c:v>
                </c:pt>
                <c:pt idx="9">
                  <c:v>#MacBookProM3</c:v>
                </c:pt>
                <c:pt idx="10">
                  <c:v>#ShotOniPhone</c:v>
                </c:pt>
                <c:pt idx="11">
                  <c:v>#Sustainability #AppleEarth</c:v>
                </c:pt>
              </c:strCache>
            </c:strRef>
          </c:cat>
          <c:val>
            <c:numRef>
              <c:f>'average performance of posts'!$D$2:$D$14</c:f>
              <c:numCache>
                <c:formatCode>0</c:formatCode>
                <c:ptCount val="12"/>
                <c:pt idx="0">
                  <c:v>892.8</c:v>
                </c:pt>
                <c:pt idx="1">
                  <c:v>900.36842105263156</c:v>
                </c:pt>
                <c:pt idx="2">
                  <c:v>869.34375</c:v>
                </c:pt>
                <c:pt idx="3">
                  <c:v>875.88235294117646</c:v>
                </c:pt>
                <c:pt idx="4">
                  <c:v>880.54054054054052</c:v>
                </c:pt>
                <c:pt idx="5">
                  <c:v>980.64</c:v>
                </c:pt>
                <c:pt idx="6">
                  <c:v>803.65517241379314</c:v>
                </c:pt>
                <c:pt idx="7">
                  <c:v>802.2</c:v>
                </c:pt>
                <c:pt idx="8">
                  <c:v>901.46428571428567</c:v>
                </c:pt>
                <c:pt idx="9">
                  <c:v>814.35294117647061</c:v>
                </c:pt>
                <c:pt idx="10">
                  <c:v>806.5625</c:v>
                </c:pt>
                <c:pt idx="11">
                  <c:v>908.69230769230774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D1-4E67-A1F9-64F132B2C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970575"/>
        <c:axId val="662980175"/>
      </c:barChart>
      <c:catAx>
        <c:axId val="66297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80175"/>
        <c:crosses val="autoZero"/>
        <c:auto val="1"/>
        <c:lblAlgn val="ctr"/>
        <c:lblOffset val="100"/>
        <c:noMultiLvlLbl val="0"/>
      </c:catAx>
      <c:valAx>
        <c:axId val="6629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7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Data.xlsx]Content Performance!PivotTable5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'Content Performance'!$B$1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'Content Performance'!$A$2:$A$6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Performance'!$B$2:$B$6</c:f>
              <c:numCache>
                <c:formatCode>0</c:formatCode>
                <c:ptCount val="4"/>
                <c:pt idx="0">
                  <c:v>13039.91304347826</c:v>
                </c:pt>
                <c:pt idx="1">
                  <c:v>13110.411764705883</c:v>
                </c:pt>
                <c:pt idx="2">
                  <c:v>13363.40579710145</c:v>
                </c:pt>
                <c:pt idx="3">
                  <c:v>14847.718309859154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C-4C64-890F-086DEA23D59F}"/>
            </c:ext>
          </c:extLst>
        </c:ser>
        <c:ser>
          <c:idx val="1"/>
          <c:order val="1"/>
          <c:tx>
            <c:strRef>
              <c:f>'Content Performance'!$C$1</c:f>
              <c:strCache>
                <c:ptCount val="1"/>
                <c:pt idx="0">
                  <c:v>Average of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'Content Performance'!$A$2:$A$6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Performance'!$C$2:$C$6</c:f>
              <c:numCache>
                <c:formatCode>0</c:formatCode>
                <c:ptCount val="4"/>
                <c:pt idx="0">
                  <c:v>884.02173913043475</c:v>
                </c:pt>
                <c:pt idx="1">
                  <c:v>839.61764705882354</c:v>
                </c:pt>
                <c:pt idx="2">
                  <c:v>908.85507246376812</c:v>
                </c:pt>
                <c:pt idx="3">
                  <c:v>847.19718309859149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C-4C64-890F-086DEA23D59F}"/>
            </c:ext>
          </c:extLst>
        </c:ser>
        <c:ser>
          <c:idx val="2"/>
          <c:order val="2"/>
          <c:tx>
            <c:strRef>
              <c:f>'Content Performance'!$D$1</c:f>
              <c:strCache>
                <c:ptCount val="1"/>
                <c:pt idx="0">
                  <c:v>Average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'Content Performance'!$A$2:$A$6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Performance'!$D$2:$D$6</c:f>
              <c:numCache>
                <c:formatCode>0</c:formatCode>
                <c:ptCount val="4"/>
                <c:pt idx="0">
                  <c:v>591.10869565217388</c:v>
                </c:pt>
                <c:pt idx="1">
                  <c:v>574.45588235294122</c:v>
                </c:pt>
                <c:pt idx="2">
                  <c:v>544.49275362318838</c:v>
                </c:pt>
                <c:pt idx="3">
                  <c:v>582.71830985915494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CC-4C64-890F-086DEA23D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472879"/>
        <c:axId val="752469519"/>
      </c:barChart>
      <c:catAx>
        <c:axId val="75247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69519"/>
        <c:crosses val="autoZero"/>
        <c:auto val="1"/>
        <c:lblAlgn val="ctr"/>
        <c:lblOffset val="100"/>
        <c:noMultiLvlLbl val="0"/>
      </c:catAx>
      <c:valAx>
        <c:axId val="7524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7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Data.xlsx]Total &amp; Average Impressions!PivotTable9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&amp; Average Impressions'!$B$1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&amp; Average Impressions'!$A$2:$A$7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'Total &amp; Average Impressions'!$B$2:$B$7</c:f>
              <c:numCache>
                <c:formatCode>0</c:formatCode>
                <c:ptCount val="5"/>
                <c:pt idx="0">
                  <c:v>10331022</c:v>
                </c:pt>
                <c:pt idx="1">
                  <c:v>9407749</c:v>
                </c:pt>
                <c:pt idx="2">
                  <c:v>8901334</c:v>
                </c:pt>
                <c:pt idx="3">
                  <c:v>6698763</c:v>
                </c:pt>
                <c:pt idx="4">
                  <c:v>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E-4577-8795-6D68B6DE532E}"/>
            </c:ext>
          </c:extLst>
        </c:ser>
        <c:ser>
          <c:idx val="1"/>
          <c:order val="1"/>
          <c:tx>
            <c:strRef>
              <c:f>'Total &amp; Average Impressions'!$C$1</c:f>
              <c:strCache>
                <c:ptCount val="1"/>
                <c:pt idx="0">
                  <c:v>Average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&amp; Average Impressions'!$A$2:$A$7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'Total &amp; Average Impressions'!$C$2:$C$7</c:f>
              <c:numCache>
                <c:formatCode>0</c:formatCode>
                <c:ptCount val="5"/>
                <c:pt idx="0">
                  <c:v>1664.5507246376812</c:v>
                </c:pt>
                <c:pt idx="1">
                  <c:v>1547.463768115942</c:v>
                </c:pt>
                <c:pt idx="2">
                  <c:v>1636.3220338983051</c:v>
                </c:pt>
                <c:pt idx="3">
                  <c:v>1623.195652173913</c:v>
                </c:pt>
                <c:pt idx="4">
                  <c:v>1564.3157894736842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E-4577-8795-6D68B6DE532E}"/>
            </c:ext>
          </c:extLst>
        </c:ser>
        <c:ser>
          <c:idx val="2"/>
          <c:order val="2"/>
          <c:tx>
            <c:strRef>
              <c:f>'Total &amp; Average Impressions'!$D$1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&amp; Average Impressions'!$A$2:$A$7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'Total &amp; Average Impressions'!$D$2:$D$7</c:f>
              <c:numCache>
                <c:formatCode>0</c:formatCode>
                <c:ptCount val="5"/>
                <c:pt idx="0">
                  <c:v>114854</c:v>
                </c:pt>
                <c:pt idx="1">
                  <c:v>106775</c:v>
                </c:pt>
                <c:pt idx="2">
                  <c:v>96543</c:v>
                </c:pt>
                <c:pt idx="3">
                  <c:v>74667</c:v>
                </c:pt>
                <c:pt idx="4">
                  <c:v>89166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4E-4577-8795-6D68B6DE532E}"/>
            </c:ext>
          </c:extLst>
        </c:ser>
        <c:ser>
          <c:idx val="3"/>
          <c:order val="3"/>
          <c:tx>
            <c:strRef>
              <c:f>'Total &amp; Average Impressions'!$E$1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'Total &amp; Average Impressions'!$A$2:$A$7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'Total &amp; Average Impressions'!$E$2:$E$7</c:f>
              <c:numCache>
                <c:formatCode>0</c:formatCode>
                <c:ptCount val="5"/>
                <c:pt idx="0">
                  <c:v>13870.289855072464</c:v>
                </c:pt>
                <c:pt idx="1">
                  <c:v>12877.231884057972</c:v>
                </c:pt>
                <c:pt idx="2">
                  <c:v>14295.440677966102</c:v>
                </c:pt>
                <c:pt idx="3">
                  <c:v>12738.478260869566</c:v>
                </c:pt>
                <c:pt idx="4">
                  <c:v>13902.859649122807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4E-4577-8795-6D68B6DE532E}"/>
            </c:ext>
          </c:extLst>
        </c:ser>
        <c:ser>
          <c:idx val="4"/>
          <c:order val="4"/>
          <c:tx>
            <c:strRef>
              <c:f>'Total &amp; Average Impressions'!$F$1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'Total &amp; Average Impressions'!$A$2:$A$7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'Total &amp; Average Impressions'!$F$2:$F$7</c:f>
              <c:numCache>
                <c:formatCode>0</c:formatCode>
                <c:ptCount val="5"/>
                <c:pt idx="0">
                  <c:v>957050</c:v>
                </c:pt>
                <c:pt idx="1">
                  <c:v>888529</c:v>
                </c:pt>
                <c:pt idx="2">
                  <c:v>843431</c:v>
                </c:pt>
                <c:pt idx="3">
                  <c:v>585970</c:v>
                </c:pt>
                <c:pt idx="4">
                  <c:v>792463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4E-4577-8795-6D68B6DE532E}"/>
            </c:ext>
          </c:extLst>
        </c:ser>
        <c:ser>
          <c:idx val="5"/>
          <c:order val="5"/>
          <c:tx>
            <c:strRef>
              <c:f>'Total &amp; Average Impressions'!$G$1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'Total &amp; Average Impressions'!$A$2:$A$7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'Total &amp; Average Impressions'!$G$2:$G$7</c:f>
              <c:numCache>
                <c:formatCode>0</c:formatCode>
                <c:ptCount val="5"/>
                <c:pt idx="0">
                  <c:v>149724.95652173914</c:v>
                </c:pt>
                <c:pt idx="1">
                  <c:v>136344.18840579709</c:v>
                </c:pt>
                <c:pt idx="2">
                  <c:v>150870.06779661018</c:v>
                </c:pt>
                <c:pt idx="3">
                  <c:v>145625.28260869565</c:v>
                </c:pt>
                <c:pt idx="4">
                  <c:v>161807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4E-4577-8795-6D68B6DE5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478159"/>
        <c:axId val="752465199"/>
      </c:barChart>
      <c:catAx>
        <c:axId val="75247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65199"/>
        <c:crosses val="autoZero"/>
        <c:auto val="1"/>
        <c:lblAlgn val="ctr"/>
        <c:lblOffset val="100"/>
        <c:noMultiLvlLbl val="0"/>
      </c:catAx>
      <c:valAx>
        <c:axId val="7524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78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Data.xlsx]Analyse cost efficiency!PivotTable2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cost efficiency'!$B$1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cost efficiency'!$A$2:$A$6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'Analyse cost efficiency'!$B$2:$B$6</c:f>
              <c:numCache>
                <c:formatCode>0</c:formatCode>
                <c:ptCount val="4"/>
                <c:pt idx="0">
                  <c:v>15.559291798886182</c:v>
                </c:pt>
                <c:pt idx="1">
                  <c:v>14.067998324800023</c:v>
                </c:pt>
                <c:pt idx="2">
                  <c:v>17.480513118999934</c:v>
                </c:pt>
                <c:pt idx="3">
                  <c:v>17.599262914182141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6-4039-94FD-538BF85ED1D9}"/>
            </c:ext>
          </c:extLst>
        </c:ser>
        <c:ser>
          <c:idx val="1"/>
          <c:order val="1"/>
          <c:tx>
            <c:strRef>
              <c:f>'Analyse cost efficiency'!$C$1</c:f>
              <c:strCache>
                <c:ptCount val="1"/>
                <c:pt idx="0">
                  <c:v>Average of Cost per new follower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'Analyse cost efficiency'!$A$2:$A$6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'Analyse cost efficiency'!$C$2:$C$6</c:f>
              <c:numCache>
                <c:formatCode>0</c:formatCode>
                <c:ptCount val="4"/>
                <c:pt idx="0">
                  <c:v>8.8929450454654297</c:v>
                </c:pt>
                <c:pt idx="1">
                  <c:v>9.9250122557823328</c:v>
                </c:pt>
                <c:pt idx="2">
                  <c:v>7.22494552697537</c:v>
                </c:pt>
                <c:pt idx="3">
                  <c:v>5.9447788606799445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6-4039-94FD-538BF85ED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960975"/>
        <c:axId val="662955695"/>
      </c:barChart>
      <c:catAx>
        <c:axId val="66296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55695"/>
        <c:crosses val="autoZero"/>
        <c:auto val="1"/>
        <c:lblAlgn val="ctr"/>
        <c:lblOffset val="100"/>
        <c:noMultiLvlLbl val="0"/>
      </c:catAx>
      <c:valAx>
        <c:axId val="6629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6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Data.xlsx]Weekly folower growth platform!PivotTable17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'Weekly folower growth platform'!$B$1:$B$2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'Weekly folower growth platform'!$A$3:$A$54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(blank)</c:v>
                </c:pt>
              </c:strCache>
            </c:strRef>
          </c:cat>
          <c:val>
            <c:numRef>
              <c:f>'Weekly folower growth platform'!$B$3:$B$54</c:f>
              <c:numCache>
                <c:formatCode>General</c:formatCode>
                <c:ptCount val="51"/>
                <c:pt idx="0">
                  <c:v>3777</c:v>
                </c:pt>
                <c:pt idx="1">
                  <c:v>7215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0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6-47DE-98FF-E24CA48B5C9E}"/>
            </c:ext>
          </c:extLst>
        </c:ser>
        <c:ser>
          <c:idx val="1"/>
          <c:order val="1"/>
          <c:tx>
            <c:strRef>
              <c:f>'Weekly folower growth platform'!$C$1:$C$2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'Weekly folower growth platform'!$A$3:$A$54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(blank)</c:v>
                </c:pt>
              </c:strCache>
            </c:strRef>
          </c:cat>
          <c:val>
            <c:numRef>
              <c:f>'Weekly folower growth platform'!$C$3:$C$54</c:f>
              <c:numCache>
                <c:formatCode>General</c:formatCode>
                <c:ptCount val="51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6-47DE-98FF-E24CA48B5C9E}"/>
            </c:ext>
          </c:extLst>
        </c:ser>
        <c:ser>
          <c:idx val="2"/>
          <c:order val="2"/>
          <c:tx>
            <c:strRef>
              <c:f>'Weekly folower growth platform'!$D$1:$D$2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'Weekly folower growth platform'!$A$3:$A$54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(blank)</c:v>
                </c:pt>
              </c:strCache>
            </c:strRef>
          </c:cat>
          <c:val>
            <c:numRef>
              <c:f>'Weekly folower growth platform'!$D$3:$D$54</c:f>
              <c:numCache>
                <c:formatCode>General</c:formatCode>
                <c:ptCount val="51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26-47DE-98FF-E24CA48B5C9E}"/>
            </c:ext>
          </c:extLst>
        </c:ser>
        <c:ser>
          <c:idx val="3"/>
          <c:order val="3"/>
          <c:tx>
            <c:strRef>
              <c:f>'Weekly folower growth platform'!$E$1:$E$2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'Weekly folower growth platform'!$A$3:$A$54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(blank)</c:v>
                </c:pt>
              </c:strCache>
            </c:strRef>
          </c:cat>
          <c:val>
            <c:numRef>
              <c:f>'Weekly folower growth platform'!$E$3:$E$54</c:f>
              <c:numCache>
                <c:formatCode>General</c:formatCode>
                <c:ptCount val="51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6918</c:v>
                </c:pt>
                <c:pt idx="21">
                  <c:v>12442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26-47DE-98FF-E24CA48B5C9E}"/>
            </c:ext>
          </c:extLst>
        </c:ser>
        <c:ser>
          <c:idx val="4"/>
          <c:order val="4"/>
          <c:tx>
            <c:strRef>
              <c:f>'Weekly folower growth platform'!$F$1:$F$2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'Weekly folower growth platform'!$A$3:$A$54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(blank)</c:v>
                </c:pt>
              </c:strCache>
            </c:strRef>
          </c:cat>
          <c:val>
            <c:numRef>
              <c:f>'Weekly folower growth platform'!$F$3:$F$54</c:f>
              <c:numCache>
                <c:formatCode>General</c:formatCode>
                <c:ptCount val="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26-47DE-98FF-E24CA48B5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143487"/>
        <c:axId val="454157887"/>
      </c:lineChart>
      <c:catAx>
        <c:axId val="45414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57887"/>
        <c:crosses val="autoZero"/>
        <c:auto val="1"/>
        <c:lblAlgn val="ctr"/>
        <c:lblOffset val="100"/>
        <c:noMultiLvlLbl val="0"/>
      </c:catAx>
      <c:valAx>
        <c:axId val="45415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4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Data.xlsx]The peak of week of follower ga!PivotTable19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 peak of week of follower ga'!$B$1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'The peak of week of follower ga'!$A$2:$A$52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'The peak of week of follower ga'!$B$2:$B$52</c:f>
              <c:numCache>
                <c:formatCode>General</c:formatCode>
                <c:ptCount val="50"/>
                <c:pt idx="0">
                  <c:v>30937</c:v>
                </c:pt>
                <c:pt idx="1">
                  <c:v>24926</c:v>
                </c:pt>
                <c:pt idx="2">
                  <c:v>29033</c:v>
                </c:pt>
                <c:pt idx="3">
                  <c:v>31430</c:v>
                </c:pt>
                <c:pt idx="4">
                  <c:v>21836</c:v>
                </c:pt>
                <c:pt idx="5">
                  <c:v>20394</c:v>
                </c:pt>
                <c:pt idx="6">
                  <c:v>15600</c:v>
                </c:pt>
                <c:pt idx="7">
                  <c:v>35220</c:v>
                </c:pt>
                <c:pt idx="8">
                  <c:v>19605</c:v>
                </c:pt>
                <c:pt idx="9">
                  <c:v>15446</c:v>
                </c:pt>
                <c:pt idx="10">
                  <c:v>29373</c:v>
                </c:pt>
                <c:pt idx="11">
                  <c:v>25600</c:v>
                </c:pt>
                <c:pt idx="12">
                  <c:v>23590</c:v>
                </c:pt>
                <c:pt idx="13">
                  <c:v>25624</c:v>
                </c:pt>
                <c:pt idx="14">
                  <c:v>27016</c:v>
                </c:pt>
                <c:pt idx="15">
                  <c:v>17005</c:v>
                </c:pt>
                <c:pt idx="16">
                  <c:v>20095</c:v>
                </c:pt>
                <c:pt idx="17">
                  <c:v>20374</c:v>
                </c:pt>
                <c:pt idx="18">
                  <c:v>19886</c:v>
                </c:pt>
                <c:pt idx="19">
                  <c:v>25576</c:v>
                </c:pt>
                <c:pt idx="20">
                  <c:v>34182</c:v>
                </c:pt>
                <c:pt idx="21">
                  <c:v>30338</c:v>
                </c:pt>
                <c:pt idx="22">
                  <c:v>18704</c:v>
                </c:pt>
                <c:pt idx="23">
                  <c:v>22206</c:v>
                </c:pt>
                <c:pt idx="24">
                  <c:v>23076</c:v>
                </c:pt>
                <c:pt idx="25">
                  <c:v>31244</c:v>
                </c:pt>
                <c:pt idx="26">
                  <c:v>20319</c:v>
                </c:pt>
                <c:pt idx="27">
                  <c:v>17052</c:v>
                </c:pt>
                <c:pt idx="28">
                  <c:v>22471</c:v>
                </c:pt>
                <c:pt idx="29">
                  <c:v>21551</c:v>
                </c:pt>
                <c:pt idx="30">
                  <c:v>26732</c:v>
                </c:pt>
                <c:pt idx="31">
                  <c:v>30112</c:v>
                </c:pt>
                <c:pt idx="32">
                  <c:v>20282</c:v>
                </c:pt>
                <c:pt idx="33">
                  <c:v>30445</c:v>
                </c:pt>
                <c:pt idx="34">
                  <c:v>25524</c:v>
                </c:pt>
                <c:pt idx="35">
                  <c:v>31493</c:v>
                </c:pt>
                <c:pt idx="36">
                  <c:v>14946</c:v>
                </c:pt>
                <c:pt idx="37">
                  <c:v>19736</c:v>
                </c:pt>
                <c:pt idx="38">
                  <c:v>33650</c:v>
                </c:pt>
                <c:pt idx="39">
                  <c:v>23100</c:v>
                </c:pt>
                <c:pt idx="40">
                  <c:v>19763</c:v>
                </c:pt>
                <c:pt idx="41">
                  <c:v>30743</c:v>
                </c:pt>
                <c:pt idx="42">
                  <c:v>27347</c:v>
                </c:pt>
                <c:pt idx="43">
                  <c:v>17134</c:v>
                </c:pt>
                <c:pt idx="44">
                  <c:v>23521</c:v>
                </c:pt>
                <c:pt idx="45">
                  <c:v>27882</c:v>
                </c:pt>
                <c:pt idx="46">
                  <c:v>24797</c:v>
                </c:pt>
                <c:pt idx="47">
                  <c:v>19217</c:v>
                </c:pt>
                <c:pt idx="48">
                  <c:v>17866</c:v>
                </c:pt>
                <c:pt idx="49">
                  <c:v>21189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0-4B18-8069-45527F30C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466159"/>
        <c:axId val="752477199"/>
      </c:barChart>
      <c:catAx>
        <c:axId val="75246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77199"/>
        <c:crosses val="autoZero"/>
        <c:auto val="1"/>
        <c:lblAlgn val="ctr"/>
        <c:lblOffset val="100"/>
        <c:noMultiLvlLbl val="0"/>
      </c:catAx>
      <c:valAx>
        <c:axId val="75247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6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Growth success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'Use moving averages to smooth '!$B$1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'Use moving averages to smooth '!$A$2:$A$51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'Use moving averages to smooth '!$B$2:$B$51</c:f>
              <c:numCache>
                <c:formatCode>General</c:formatCode>
                <c:ptCount val="50"/>
                <c:pt idx="0">
                  <c:v>3777</c:v>
                </c:pt>
                <c:pt idx="1">
                  <c:v>7215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0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E-447C-98A0-01C925388C90}"/>
            </c:ext>
          </c:extLst>
        </c:ser>
        <c:ser>
          <c:idx val="1"/>
          <c:order val="1"/>
          <c:tx>
            <c:strRef>
              <c:f>'Use moving averages to smooth '!$C$1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'Use moving averages to smooth '!$A$2:$A$51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'Use moving averages to smooth '!$C$2:$C$51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E-447C-98A0-01C925388C90}"/>
            </c:ext>
          </c:extLst>
        </c:ser>
        <c:ser>
          <c:idx val="2"/>
          <c:order val="2"/>
          <c:tx>
            <c:strRef>
              <c:f>'Use moving averages to smooth '!$D$1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'Use moving averages to smooth '!$A$2:$A$51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'Use moving averages to smooth '!$D$2:$D$51</c:f>
              <c:numCache>
                <c:formatCode>General</c:formatCode>
                <c:ptCount val="50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E-447C-98A0-01C925388C90}"/>
            </c:ext>
          </c:extLst>
        </c:ser>
        <c:ser>
          <c:idx val="3"/>
          <c:order val="3"/>
          <c:tx>
            <c:strRef>
              <c:f>'Use moving averages to smooth '!$E$1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'Use moving averages to smooth '!$A$2:$A$51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'Use moving averages to smooth '!$E$2:$E$51</c:f>
              <c:numCache>
                <c:formatCode>General</c:formatCode>
                <c:ptCount val="50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6918</c:v>
                </c:pt>
                <c:pt idx="21">
                  <c:v>12442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5E-447C-98A0-01C925388C90}"/>
            </c:ext>
          </c:extLst>
        </c:ser>
        <c:ser>
          <c:idx val="4"/>
          <c:order val="4"/>
          <c:tx>
            <c:strRef>
              <c:f>'Use moving averages to smooth '!$F$1</c:f>
              <c:strCache>
                <c:ptCount val="1"/>
                <c:pt idx="0">
                  <c:v>Instagram 4W_MA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'Use moving averages to smooth '!$A$2:$A$51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'Use moving averages to smooth '!$F$2:$F$51</c:f>
              <c:numCache>
                <c:formatCode>0</c:formatCode>
                <c:ptCount val="50"/>
                <c:pt idx="0">
                  <c:v>7251.75</c:v>
                </c:pt>
                <c:pt idx="1">
                  <c:v>7789.5</c:v>
                </c:pt>
                <c:pt idx="2">
                  <c:v>7981</c:v>
                </c:pt>
                <c:pt idx="3">
                  <c:v>5260</c:v>
                </c:pt>
                <c:pt idx="4">
                  <c:v>5447.5</c:v>
                </c:pt>
                <c:pt idx="5">
                  <c:v>4967</c:v>
                </c:pt>
                <c:pt idx="6">
                  <c:v>4090</c:v>
                </c:pt>
                <c:pt idx="7">
                  <c:v>5033</c:v>
                </c:pt>
                <c:pt idx="8">
                  <c:v>7967</c:v>
                </c:pt>
                <c:pt idx="9">
                  <c:v>8033</c:v>
                </c:pt>
                <c:pt idx="10">
                  <c:v>9078.75</c:v>
                </c:pt>
                <c:pt idx="11">
                  <c:v>9226</c:v>
                </c:pt>
                <c:pt idx="12">
                  <c:v>7689.666666666667</c:v>
                </c:pt>
                <c:pt idx="13">
                  <c:v>9292.6666666666661</c:v>
                </c:pt>
                <c:pt idx="14">
                  <c:v>10128.666666666666</c:v>
                </c:pt>
                <c:pt idx="15">
                  <c:v>9250.6666666666661</c:v>
                </c:pt>
                <c:pt idx="16">
                  <c:v>9250.6666666666661</c:v>
                </c:pt>
                <c:pt idx="17">
                  <c:v>12895</c:v>
                </c:pt>
                <c:pt idx="18">
                  <c:v>14390.5</c:v>
                </c:pt>
                <c:pt idx="19">
                  <c:v>23973</c:v>
                </c:pt>
                <c:pt idx="20">
                  <c:v>23973</c:v>
                </c:pt>
                <c:pt idx="21">
                  <c:v>5206</c:v>
                </c:pt>
                <c:pt idx="22">
                  <c:v>9871.5</c:v>
                </c:pt>
                <c:pt idx="23">
                  <c:v>9580.6666666666661</c:v>
                </c:pt>
                <c:pt idx="24">
                  <c:v>8050.75</c:v>
                </c:pt>
                <c:pt idx="25">
                  <c:v>7949.75</c:v>
                </c:pt>
                <c:pt idx="26">
                  <c:v>5394</c:v>
                </c:pt>
                <c:pt idx="27">
                  <c:v>4197.75</c:v>
                </c:pt>
                <c:pt idx="28">
                  <c:v>4443.333333333333</c:v>
                </c:pt>
                <c:pt idx="29">
                  <c:v>3815.6666666666665</c:v>
                </c:pt>
                <c:pt idx="30">
                  <c:v>3566.5</c:v>
                </c:pt>
                <c:pt idx="31">
                  <c:v>3281</c:v>
                </c:pt>
                <c:pt idx="32">
                  <c:v>3281</c:v>
                </c:pt>
                <c:pt idx="33">
                  <c:v>3643</c:v>
                </c:pt>
                <c:pt idx="34">
                  <c:v>7555.5</c:v>
                </c:pt>
                <c:pt idx="35">
                  <c:v>13277.5</c:v>
                </c:pt>
                <c:pt idx="36">
                  <c:v>13277.5</c:v>
                </c:pt>
                <c:pt idx="37">
                  <c:v>9849.6666666666661</c:v>
                </c:pt>
                <c:pt idx="38">
                  <c:v>8791</c:v>
                </c:pt>
                <c:pt idx="39">
                  <c:v>5643</c:v>
                </c:pt>
                <c:pt idx="40">
                  <c:v>5804.666666666667</c:v>
                </c:pt>
                <c:pt idx="41">
                  <c:v>5281.666666666667</c:v>
                </c:pt>
                <c:pt idx="42">
                  <c:v>3776.5</c:v>
                </c:pt>
                <c:pt idx="43">
                  <c:v>7521.666666666667</c:v>
                </c:pt>
                <c:pt idx="44">
                  <c:v>8218.5</c:v>
                </c:pt>
                <c:pt idx="45">
                  <c:v>11485.5</c:v>
                </c:pt>
                <c:pt idx="46">
                  <c:v>8592</c:v>
                </c:pt>
                <c:pt idx="47">
                  <c:v>5382</c:v>
                </c:pt>
                <c:pt idx="48">
                  <c:v>5382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5E-447C-98A0-01C925388C90}"/>
            </c:ext>
          </c:extLst>
        </c:ser>
        <c:ser>
          <c:idx val="5"/>
          <c:order val="5"/>
          <c:tx>
            <c:strRef>
              <c:f>'Use moving averages to smooth '!$G$1</c:f>
              <c:strCache>
                <c:ptCount val="1"/>
                <c:pt idx="0">
                  <c:v>LinkedIn 4W_MA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'Use moving averages to smooth '!$A$2:$A$51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'Use moving averages to smooth '!$G$2:$G$51</c:f>
              <c:numCache>
                <c:formatCode>0</c:formatCode>
                <c:ptCount val="50"/>
                <c:pt idx="0">
                  <c:v>6728</c:v>
                </c:pt>
                <c:pt idx="1">
                  <c:v>6085</c:v>
                </c:pt>
                <c:pt idx="2">
                  <c:v>7849.333333333333</c:v>
                </c:pt>
                <c:pt idx="3">
                  <c:v>8410</c:v>
                </c:pt>
                <c:pt idx="4">
                  <c:v>10741</c:v>
                </c:pt>
                <c:pt idx="5">
                  <c:v>11439.333333333334</c:v>
                </c:pt>
                <c:pt idx="6">
                  <c:v>9262.3333333333339</c:v>
                </c:pt>
                <c:pt idx="7">
                  <c:v>9262.3333333333339</c:v>
                </c:pt>
                <c:pt idx="8">
                  <c:v>6192</c:v>
                </c:pt>
                <c:pt idx="9">
                  <c:v>3180</c:v>
                </c:pt>
                <c:pt idx="10">
                  <c:v>4870.5</c:v>
                </c:pt>
                <c:pt idx="11">
                  <c:v>5287.333333333333</c:v>
                </c:pt>
                <c:pt idx="12">
                  <c:v>4515.25</c:v>
                </c:pt>
                <c:pt idx="13">
                  <c:v>5516</c:v>
                </c:pt>
                <c:pt idx="14">
                  <c:v>4160</c:v>
                </c:pt>
                <c:pt idx="15">
                  <c:v>2310</c:v>
                </c:pt>
                <c:pt idx="16">
                  <c:v>2421</c:v>
                </c:pt>
                <c:pt idx="17">
                  <c:v>2421</c:v>
                </c:pt>
                <c:pt idx="18">
                  <c:v>8616.5</c:v>
                </c:pt>
                <c:pt idx="19">
                  <c:v>9877</c:v>
                </c:pt>
                <c:pt idx="20">
                  <c:v>8212</c:v>
                </c:pt>
                <c:pt idx="21">
                  <c:v>8571</c:v>
                </c:pt>
                <c:pt idx="22">
                  <c:v>7104.25</c:v>
                </c:pt>
                <c:pt idx="23">
                  <c:v>7219.25</c:v>
                </c:pt>
                <c:pt idx="24">
                  <c:v>6236</c:v>
                </c:pt>
                <c:pt idx="25">
                  <c:v>5955.75</c:v>
                </c:pt>
                <c:pt idx="26">
                  <c:v>5604.75</c:v>
                </c:pt>
                <c:pt idx="27">
                  <c:v>8398.5</c:v>
                </c:pt>
                <c:pt idx="28">
                  <c:v>10474.75</c:v>
                </c:pt>
                <c:pt idx="29">
                  <c:v>10210.75</c:v>
                </c:pt>
                <c:pt idx="30">
                  <c:v>11100.666666666666</c:v>
                </c:pt>
                <c:pt idx="31">
                  <c:v>7995</c:v>
                </c:pt>
                <c:pt idx="32">
                  <c:v>7365.5</c:v>
                </c:pt>
                <c:pt idx="33">
                  <c:v>9941</c:v>
                </c:pt>
                <c:pt idx="34">
                  <c:v>8327.6666666666661</c:v>
                </c:pt>
                <c:pt idx="35">
                  <c:v>8861.5</c:v>
                </c:pt>
                <c:pt idx="36">
                  <c:v>8385</c:v>
                </c:pt>
                <c:pt idx="37">
                  <c:v>5022.666666666667</c:v>
                </c:pt>
                <c:pt idx="38">
                  <c:v>9898.3333333333339</c:v>
                </c:pt>
                <c:pt idx="39">
                  <c:v>12730.5</c:v>
                </c:pt>
                <c:pt idx="40">
                  <c:v>11287.5</c:v>
                </c:pt>
                <c:pt idx="41">
                  <c:v>11789.25</c:v>
                </c:pt>
                <c:pt idx="42">
                  <c:v>13106</c:v>
                </c:pt>
                <c:pt idx="43">
                  <c:v>10399</c:v>
                </c:pt>
                <c:pt idx="44">
                  <c:v>10349.666666666666</c:v>
                </c:pt>
                <c:pt idx="45">
                  <c:v>9822.3333333333339</c:v>
                </c:pt>
                <c:pt idx="46">
                  <c:v>4206</c:v>
                </c:pt>
                <c:pt idx="47">
                  <c:v>4206</c:v>
                </c:pt>
                <c:pt idx="48">
                  <c:v>5553</c:v>
                </c:pt>
                <c:pt idx="49">
                  <c:v>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5E-447C-98A0-01C925388C90}"/>
            </c:ext>
          </c:extLst>
        </c:ser>
        <c:ser>
          <c:idx val="6"/>
          <c:order val="6"/>
          <c:tx>
            <c:strRef>
              <c:f>'Use moving averages to smooth '!$H$1</c:f>
              <c:strCache>
                <c:ptCount val="1"/>
                <c:pt idx="0">
                  <c:v>Twitter 4W_MA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 moving averages to smooth '!$A$2:$A$51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'Use moving averages to smooth '!$H$2:$H$51</c:f>
              <c:numCache>
                <c:formatCode>0</c:formatCode>
                <c:ptCount val="50"/>
                <c:pt idx="0">
                  <c:v>9239.5</c:v>
                </c:pt>
                <c:pt idx="1">
                  <c:v>9497.25</c:v>
                </c:pt>
                <c:pt idx="2">
                  <c:v>9192.75</c:v>
                </c:pt>
                <c:pt idx="3">
                  <c:v>9447.5</c:v>
                </c:pt>
                <c:pt idx="4">
                  <c:v>7609.75</c:v>
                </c:pt>
                <c:pt idx="5">
                  <c:v>7003.75</c:v>
                </c:pt>
                <c:pt idx="6">
                  <c:v>6090.25</c:v>
                </c:pt>
                <c:pt idx="7">
                  <c:v>7517.25</c:v>
                </c:pt>
                <c:pt idx="8">
                  <c:v>7445.333333333333</c:v>
                </c:pt>
                <c:pt idx="9">
                  <c:v>7350</c:v>
                </c:pt>
                <c:pt idx="10">
                  <c:v>8382</c:v>
                </c:pt>
                <c:pt idx="11">
                  <c:v>6173</c:v>
                </c:pt>
                <c:pt idx="12">
                  <c:v>5423.666666666667</c:v>
                </c:pt>
                <c:pt idx="13">
                  <c:v>5153.333333333333</c:v>
                </c:pt>
                <c:pt idx="14">
                  <c:v>5799</c:v>
                </c:pt>
                <c:pt idx="15">
                  <c:v>5799</c:v>
                </c:pt>
                <c:pt idx="16">
                  <c:v>9909.3333333333339</c:v>
                </c:pt>
                <c:pt idx="17">
                  <c:v>12393</c:v>
                </c:pt>
                <c:pt idx="18">
                  <c:v>16256</c:v>
                </c:pt>
                <c:pt idx="19">
                  <c:v>12471.5</c:v>
                </c:pt>
                <c:pt idx="20">
                  <c:v>9168</c:v>
                </c:pt>
                <c:pt idx="21">
                  <c:v>8240</c:v>
                </c:pt>
                <c:pt idx="22">
                  <c:v>8240</c:v>
                </c:pt>
                <c:pt idx="23">
                  <c:v>8016.5</c:v>
                </c:pt>
                <c:pt idx="24">
                  <c:v>6513</c:v>
                </c:pt>
                <c:pt idx="25">
                  <c:v>6458.5</c:v>
                </c:pt>
                <c:pt idx="26">
                  <c:v>6458.5</c:v>
                </c:pt>
                <c:pt idx="27">
                  <c:v>5332</c:v>
                </c:pt>
                <c:pt idx="28">
                  <c:v>6185.333333333333</c:v>
                </c:pt>
                <c:pt idx="29">
                  <c:v>6542.333333333333</c:v>
                </c:pt>
                <c:pt idx="30">
                  <c:v>9945.5</c:v>
                </c:pt>
                <c:pt idx="31">
                  <c:v>12123</c:v>
                </c:pt>
                <c:pt idx="32">
                  <c:v>13844</c:v>
                </c:pt>
                <c:pt idx="33">
                  <c:v>12262.5</c:v>
                </c:pt>
                <c:pt idx="34">
                  <c:v>7546.25</c:v>
                </c:pt>
                <c:pt idx="35">
                  <c:v>6132</c:v>
                </c:pt>
                <c:pt idx="36">
                  <c:v>2878.6666666666665</c:v>
                </c:pt>
                <c:pt idx="37">
                  <c:v>5446.333333333333</c:v>
                </c:pt>
                <c:pt idx="38">
                  <c:v>7524.5</c:v>
                </c:pt>
                <c:pt idx="39">
                  <c:v>7524.5</c:v>
                </c:pt>
                <c:pt idx="40">
                  <c:v>7497.5</c:v>
                </c:pt>
                <c:pt idx="41">
                  <c:v>7295.5</c:v>
                </c:pt>
                <c:pt idx="42">
                  <c:v>7295.5</c:v>
                </c:pt>
                <c:pt idx="43">
                  <c:v>7216.333333333333</c:v>
                </c:pt>
                <c:pt idx="44">
                  <c:v>10438</c:v>
                </c:pt>
                <c:pt idx="45">
                  <c:v>11497.5</c:v>
                </c:pt>
                <c:pt idx="46">
                  <c:v>10143.666666666666</c:v>
                </c:pt>
                <c:pt idx="47">
                  <c:v>11686.5</c:v>
                </c:pt>
                <c:pt idx="48">
                  <c:v>7436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5E-447C-98A0-01C925388C90}"/>
            </c:ext>
          </c:extLst>
        </c:ser>
        <c:ser>
          <c:idx val="7"/>
          <c:order val="7"/>
          <c:tx>
            <c:strRef>
              <c:f>'Use moving averages to smooth '!$I$1</c:f>
              <c:strCache>
                <c:ptCount val="1"/>
                <c:pt idx="0">
                  <c:v>YouTube 4W_MA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'Use moving averages to smooth '!$A$2:$A$51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'Use moving averages to smooth '!$I$2:$I$51</c:f>
              <c:numCache>
                <c:formatCode>0</c:formatCode>
                <c:ptCount val="50"/>
                <c:pt idx="0">
                  <c:v>10708.333333333334</c:v>
                </c:pt>
                <c:pt idx="1">
                  <c:v>8065.5</c:v>
                </c:pt>
                <c:pt idx="2">
                  <c:v>8653</c:v>
                </c:pt>
                <c:pt idx="3">
                  <c:v>5239.5</c:v>
                </c:pt>
                <c:pt idx="4">
                  <c:v>5454</c:v>
                </c:pt>
                <c:pt idx="5">
                  <c:v>4784.333333333333</c:v>
                </c:pt>
                <c:pt idx="6">
                  <c:v>4224</c:v>
                </c:pt>
                <c:pt idx="7">
                  <c:v>5525.75</c:v>
                </c:pt>
                <c:pt idx="8">
                  <c:v>5612</c:v>
                </c:pt>
                <c:pt idx="9">
                  <c:v>6076.5</c:v>
                </c:pt>
                <c:pt idx="10">
                  <c:v>7254.333333333333</c:v>
                </c:pt>
                <c:pt idx="11">
                  <c:v>8781</c:v>
                </c:pt>
                <c:pt idx="12">
                  <c:v>8741.3333333333339</c:v>
                </c:pt>
                <c:pt idx="13">
                  <c:v>10460.5</c:v>
                </c:pt>
                <c:pt idx="14">
                  <c:v>10460.5</c:v>
                </c:pt>
                <c:pt idx="15">
                  <c:v>9828</c:v>
                </c:pt>
                <c:pt idx="16">
                  <c:v>8731.5</c:v>
                </c:pt>
                <c:pt idx="17">
                  <c:v>8127</c:v>
                </c:pt>
                <c:pt idx="18">
                  <c:v>9205.75</c:v>
                </c:pt>
                <c:pt idx="19">
                  <c:v>7382.75</c:v>
                </c:pt>
                <c:pt idx="20">
                  <c:v>6909</c:v>
                </c:pt>
                <c:pt idx="21">
                  <c:v>6906</c:v>
                </c:pt>
                <c:pt idx="22">
                  <c:v>4473</c:v>
                </c:pt>
                <c:pt idx="23">
                  <c:v>4764</c:v>
                </c:pt>
                <c:pt idx="24">
                  <c:v>4620.666666666667</c:v>
                </c:pt>
                <c:pt idx="25">
                  <c:v>4620.666666666667</c:v>
                </c:pt>
                <c:pt idx="26">
                  <c:v>5349</c:v>
                </c:pt>
                <c:pt idx="27">
                  <c:v>6059</c:v>
                </c:pt>
                <c:pt idx="28">
                  <c:v>7964.5</c:v>
                </c:pt>
                <c:pt idx="29">
                  <c:v>5643.333333333333</c:v>
                </c:pt>
                <c:pt idx="30">
                  <c:v>5752</c:v>
                </c:pt>
                <c:pt idx="31">
                  <c:v>5752</c:v>
                </c:pt>
                <c:pt idx="32">
                  <c:v>7034</c:v>
                </c:pt>
                <c:pt idx="33">
                  <c:v>10050.5</c:v>
                </c:pt>
                <c:pt idx="34">
                  <c:v>12447</c:v>
                </c:pt>
                <c:pt idx="35">
                  <c:v>13903</c:v>
                </c:pt>
                <c:pt idx="36">
                  <c:v>10995</c:v>
                </c:pt>
                <c:pt idx="37">
                  <c:v>8515</c:v>
                </c:pt>
                <c:pt idx="38">
                  <c:v>8515</c:v>
                </c:pt>
                <c:pt idx="39">
                  <c:v>4791.666666666667</c:v>
                </c:pt>
                <c:pt idx="40">
                  <c:v>3103.6666666666665</c:v>
                </c:pt>
                <c:pt idx="41">
                  <c:v>4063.3333333333335</c:v>
                </c:pt>
                <c:pt idx="42">
                  <c:v>4063.3333333333335</c:v>
                </c:pt>
                <c:pt idx="43">
                  <c:v>4000.5</c:v>
                </c:pt>
                <c:pt idx="44">
                  <c:v>6434</c:v>
                </c:pt>
                <c:pt idx="45">
                  <c:v>5210</c:v>
                </c:pt>
                <c:pt idx="46">
                  <c:v>5210</c:v>
                </c:pt>
                <c:pt idx="47">
                  <c:v>5210</c:v>
                </c:pt>
                <c:pt idx="48">
                  <c:v>5210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5E-447C-98A0-01C925388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483919"/>
        <c:axId val="752484399"/>
      </c:lineChart>
      <c:catAx>
        <c:axId val="75248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84399"/>
        <c:crosses val="autoZero"/>
        <c:auto val="1"/>
        <c:lblAlgn val="ctr"/>
        <c:lblOffset val="100"/>
        <c:noMultiLvlLbl val="0"/>
      </c:catAx>
      <c:valAx>
        <c:axId val="7524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8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Ad Spend vs. Weekly Follower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'ads spend vs follower grow scat'!$B$1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'ads spend vs follower grow scat'!$A$2:$A$51</c:f>
              <c:numCache>
                <c:formatCode>General</c:formatCode>
                <c:ptCount val="50"/>
                <c:pt idx="0">
                  <c:v>27203</c:v>
                </c:pt>
                <c:pt idx="1">
                  <c:v>23062</c:v>
                </c:pt>
                <c:pt idx="2">
                  <c:v>25931</c:v>
                </c:pt>
                <c:pt idx="3">
                  <c:v>28622</c:v>
                </c:pt>
                <c:pt idx="4">
                  <c:v>19833</c:v>
                </c:pt>
                <c:pt idx="5">
                  <c:v>18529</c:v>
                </c:pt>
                <c:pt idx="6">
                  <c:v>13885</c:v>
                </c:pt>
                <c:pt idx="7">
                  <c:v>32218</c:v>
                </c:pt>
                <c:pt idx="8">
                  <c:v>17021</c:v>
                </c:pt>
                <c:pt idx="9">
                  <c:v>14100</c:v>
                </c:pt>
                <c:pt idx="10">
                  <c:v>26686</c:v>
                </c:pt>
                <c:pt idx="11">
                  <c:v>23262</c:v>
                </c:pt>
                <c:pt idx="12">
                  <c:v>20800</c:v>
                </c:pt>
                <c:pt idx="13">
                  <c:v>22217</c:v>
                </c:pt>
                <c:pt idx="14">
                  <c:v>25176</c:v>
                </c:pt>
                <c:pt idx="15">
                  <c:v>15432</c:v>
                </c:pt>
                <c:pt idx="16">
                  <c:v>17982</c:v>
                </c:pt>
                <c:pt idx="17">
                  <c:v>18434</c:v>
                </c:pt>
                <c:pt idx="18">
                  <c:v>17577</c:v>
                </c:pt>
                <c:pt idx="19">
                  <c:v>23371</c:v>
                </c:pt>
                <c:pt idx="20">
                  <c:v>30891</c:v>
                </c:pt>
                <c:pt idx="21">
                  <c:v>27254</c:v>
                </c:pt>
                <c:pt idx="22">
                  <c:v>16685</c:v>
                </c:pt>
                <c:pt idx="23">
                  <c:v>19751</c:v>
                </c:pt>
                <c:pt idx="24">
                  <c:v>21238</c:v>
                </c:pt>
                <c:pt idx="25">
                  <c:v>28625</c:v>
                </c:pt>
                <c:pt idx="26">
                  <c:v>18330</c:v>
                </c:pt>
                <c:pt idx="27">
                  <c:v>15842</c:v>
                </c:pt>
                <c:pt idx="28">
                  <c:v>19604</c:v>
                </c:pt>
                <c:pt idx="29">
                  <c:v>19183</c:v>
                </c:pt>
                <c:pt idx="30">
                  <c:v>23870</c:v>
                </c:pt>
                <c:pt idx="31">
                  <c:v>27057</c:v>
                </c:pt>
                <c:pt idx="32">
                  <c:v>18737</c:v>
                </c:pt>
                <c:pt idx="33">
                  <c:v>27809</c:v>
                </c:pt>
                <c:pt idx="34">
                  <c:v>22692</c:v>
                </c:pt>
                <c:pt idx="35">
                  <c:v>28533</c:v>
                </c:pt>
                <c:pt idx="36">
                  <c:v>13642</c:v>
                </c:pt>
                <c:pt idx="37">
                  <c:v>17859</c:v>
                </c:pt>
                <c:pt idx="38">
                  <c:v>30446</c:v>
                </c:pt>
                <c:pt idx="39">
                  <c:v>20389</c:v>
                </c:pt>
                <c:pt idx="40">
                  <c:v>17807</c:v>
                </c:pt>
                <c:pt idx="41">
                  <c:v>28020</c:v>
                </c:pt>
                <c:pt idx="42">
                  <c:v>25416</c:v>
                </c:pt>
                <c:pt idx="43">
                  <c:v>15627</c:v>
                </c:pt>
                <c:pt idx="44">
                  <c:v>20720</c:v>
                </c:pt>
                <c:pt idx="45">
                  <c:v>24995</c:v>
                </c:pt>
                <c:pt idx="46">
                  <c:v>22070</c:v>
                </c:pt>
                <c:pt idx="47">
                  <c:v>17449</c:v>
                </c:pt>
                <c:pt idx="48">
                  <c:v>16129</c:v>
                </c:pt>
                <c:pt idx="49">
                  <c:v>18387</c:v>
                </c:pt>
              </c:numCache>
            </c:numRef>
          </c:xVal>
          <c:yVal>
            <c:numRef>
              <c:f>'ads spend vs follower grow scat'!$B$2:$B$51</c:f>
              <c:numCache>
                <c:formatCode>General</c:formatCode>
                <c:ptCount val="50"/>
                <c:pt idx="0">
                  <c:v>138117</c:v>
                </c:pt>
                <c:pt idx="1">
                  <c:v>150962</c:v>
                </c:pt>
                <c:pt idx="2">
                  <c:v>98040</c:v>
                </c:pt>
                <c:pt idx="3">
                  <c:v>164565</c:v>
                </c:pt>
                <c:pt idx="4">
                  <c:v>156343</c:v>
                </c:pt>
                <c:pt idx="5">
                  <c:v>111798</c:v>
                </c:pt>
                <c:pt idx="6">
                  <c:v>96330</c:v>
                </c:pt>
                <c:pt idx="7">
                  <c:v>165690</c:v>
                </c:pt>
                <c:pt idx="8">
                  <c:v>149979</c:v>
                </c:pt>
                <c:pt idx="9">
                  <c:v>137738</c:v>
                </c:pt>
                <c:pt idx="10">
                  <c:v>127141</c:v>
                </c:pt>
                <c:pt idx="11">
                  <c:v>131436</c:v>
                </c:pt>
                <c:pt idx="12">
                  <c:v>148731</c:v>
                </c:pt>
                <c:pt idx="13">
                  <c:v>138157</c:v>
                </c:pt>
                <c:pt idx="14">
                  <c:v>145141</c:v>
                </c:pt>
                <c:pt idx="15">
                  <c:v>157040</c:v>
                </c:pt>
                <c:pt idx="16">
                  <c:v>144544</c:v>
                </c:pt>
                <c:pt idx="17">
                  <c:v>91299</c:v>
                </c:pt>
                <c:pt idx="18">
                  <c:v>128380</c:v>
                </c:pt>
                <c:pt idx="19">
                  <c:v>147981</c:v>
                </c:pt>
                <c:pt idx="20">
                  <c:v>121620</c:v>
                </c:pt>
                <c:pt idx="21">
                  <c:v>181563</c:v>
                </c:pt>
                <c:pt idx="22">
                  <c:v>153596</c:v>
                </c:pt>
                <c:pt idx="23">
                  <c:v>167636</c:v>
                </c:pt>
                <c:pt idx="24">
                  <c:v>123864</c:v>
                </c:pt>
                <c:pt idx="25">
                  <c:v>196685</c:v>
                </c:pt>
                <c:pt idx="26">
                  <c:v>157140</c:v>
                </c:pt>
                <c:pt idx="27">
                  <c:v>125132</c:v>
                </c:pt>
                <c:pt idx="28">
                  <c:v>104342</c:v>
                </c:pt>
                <c:pt idx="29">
                  <c:v>142650</c:v>
                </c:pt>
                <c:pt idx="30">
                  <c:v>158939</c:v>
                </c:pt>
                <c:pt idx="31">
                  <c:v>163934</c:v>
                </c:pt>
                <c:pt idx="32">
                  <c:v>92334</c:v>
                </c:pt>
                <c:pt idx="33">
                  <c:v>143317</c:v>
                </c:pt>
                <c:pt idx="34">
                  <c:v>148558</c:v>
                </c:pt>
                <c:pt idx="35">
                  <c:v>71040</c:v>
                </c:pt>
                <c:pt idx="36">
                  <c:v>125547</c:v>
                </c:pt>
                <c:pt idx="37">
                  <c:v>123142</c:v>
                </c:pt>
                <c:pt idx="38">
                  <c:v>122105</c:v>
                </c:pt>
                <c:pt idx="39">
                  <c:v>117742</c:v>
                </c:pt>
                <c:pt idx="40">
                  <c:v>120558</c:v>
                </c:pt>
                <c:pt idx="41">
                  <c:v>195013</c:v>
                </c:pt>
                <c:pt idx="42">
                  <c:v>119089</c:v>
                </c:pt>
                <c:pt idx="43">
                  <c:v>160200</c:v>
                </c:pt>
                <c:pt idx="44">
                  <c:v>156785</c:v>
                </c:pt>
                <c:pt idx="45">
                  <c:v>143397</c:v>
                </c:pt>
                <c:pt idx="46">
                  <c:v>143322</c:v>
                </c:pt>
                <c:pt idx="47">
                  <c:v>130305</c:v>
                </c:pt>
                <c:pt idx="48">
                  <c:v>134696</c:v>
                </c:pt>
                <c:pt idx="49">
                  <c:v>153197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A-48B2-B216-81A53246F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498319"/>
        <c:axId val="752487759"/>
      </c:scatterChart>
      <c:valAx>
        <c:axId val="75249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87759"/>
        <c:crosses val="autoZero"/>
        <c:crossBetween val="midCat"/>
      </c:valAx>
      <c:valAx>
        <c:axId val="75248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9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Data.xlsx]Pivot Table!PivotTable22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Sum of Net followers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(blank)</c:v>
                </c:pt>
              </c:strCache>
            </c:strRef>
          </c:cat>
          <c:val>
            <c:numRef>
              <c:f>'Pivot Table'!$B$2:$B$53</c:f>
              <c:numCache>
                <c:formatCode>General</c:formatCode>
                <c:ptCount val="51"/>
                <c:pt idx="0">
                  <c:v>27203</c:v>
                </c:pt>
                <c:pt idx="1">
                  <c:v>23062</c:v>
                </c:pt>
                <c:pt idx="2">
                  <c:v>25931</c:v>
                </c:pt>
                <c:pt idx="3">
                  <c:v>28622</c:v>
                </c:pt>
                <c:pt idx="4">
                  <c:v>19833</c:v>
                </c:pt>
                <c:pt idx="5">
                  <c:v>18529</c:v>
                </c:pt>
                <c:pt idx="6">
                  <c:v>13885</c:v>
                </c:pt>
                <c:pt idx="7">
                  <c:v>32218</c:v>
                </c:pt>
                <c:pt idx="8">
                  <c:v>17021</c:v>
                </c:pt>
                <c:pt idx="9">
                  <c:v>14100</c:v>
                </c:pt>
                <c:pt idx="10">
                  <c:v>26686</c:v>
                </c:pt>
                <c:pt idx="11">
                  <c:v>23262</c:v>
                </c:pt>
                <c:pt idx="12">
                  <c:v>20800</c:v>
                </c:pt>
                <c:pt idx="13">
                  <c:v>22217</c:v>
                </c:pt>
                <c:pt idx="14">
                  <c:v>25176</c:v>
                </c:pt>
                <c:pt idx="15">
                  <c:v>15432</c:v>
                </c:pt>
                <c:pt idx="16">
                  <c:v>17982</c:v>
                </c:pt>
                <c:pt idx="17">
                  <c:v>18434</c:v>
                </c:pt>
                <c:pt idx="18">
                  <c:v>17577</c:v>
                </c:pt>
                <c:pt idx="19">
                  <c:v>23371</c:v>
                </c:pt>
                <c:pt idx="20">
                  <c:v>30891</c:v>
                </c:pt>
                <c:pt idx="21">
                  <c:v>27254</c:v>
                </c:pt>
                <c:pt idx="22">
                  <c:v>16685</c:v>
                </c:pt>
                <c:pt idx="23">
                  <c:v>19751</c:v>
                </c:pt>
                <c:pt idx="24">
                  <c:v>21238</c:v>
                </c:pt>
                <c:pt idx="25">
                  <c:v>28625</c:v>
                </c:pt>
                <c:pt idx="26">
                  <c:v>18330</c:v>
                </c:pt>
                <c:pt idx="27">
                  <c:v>15842</c:v>
                </c:pt>
                <c:pt idx="28">
                  <c:v>19604</c:v>
                </c:pt>
                <c:pt idx="29">
                  <c:v>19183</c:v>
                </c:pt>
                <c:pt idx="30">
                  <c:v>23870</c:v>
                </c:pt>
                <c:pt idx="31">
                  <c:v>27057</c:v>
                </c:pt>
                <c:pt idx="32">
                  <c:v>18737</c:v>
                </c:pt>
                <c:pt idx="33">
                  <c:v>27809</c:v>
                </c:pt>
                <c:pt idx="34">
                  <c:v>22692</c:v>
                </c:pt>
                <c:pt idx="35">
                  <c:v>28533</c:v>
                </c:pt>
                <c:pt idx="36">
                  <c:v>13642</c:v>
                </c:pt>
                <c:pt idx="37">
                  <c:v>17859</c:v>
                </c:pt>
                <c:pt idx="38">
                  <c:v>30446</c:v>
                </c:pt>
                <c:pt idx="39">
                  <c:v>20389</c:v>
                </c:pt>
                <c:pt idx="40">
                  <c:v>17807</c:v>
                </c:pt>
                <c:pt idx="41">
                  <c:v>28020</c:v>
                </c:pt>
                <c:pt idx="42">
                  <c:v>25416</c:v>
                </c:pt>
                <c:pt idx="43">
                  <c:v>15627</c:v>
                </c:pt>
                <c:pt idx="44">
                  <c:v>20720</c:v>
                </c:pt>
                <c:pt idx="45">
                  <c:v>24995</c:v>
                </c:pt>
                <c:pt idx="46">
                  <c:v>22070</c:v>
                </c:pt>
                <c:pt idx="47">
                  <c:v>17449</c:v>
                </c:pt>
                <c:pt idx="48">
                  <c:v>16129</c:v>
                </c:pt>
                <c:pt idx="49">
                  <c:v>18387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C-4E44-9ECC-986C5FDB4686}"/>
            </c:ext>
          </c:extLst>
        </c:ser>
        <c:ser>
          <c:idx val="1"/>
          <c:order val="1"/>
          <c:tx>
            <c:strRef>
              <c:f>'Pivot Table'!$C$1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(blank)</c:v>
                </c:pt>
              </c:strCache>
            </c:strRef>
          </c:cat>
          <c:val>
            <c:numRef>
              <c:f>'Pivot Table'!$C$2:$C$53</c:f>
              <c:numCache>
                <c:formatCode>General</c:formatCode>
                <c:ptCount val="51"/>
                <c:pt idx="0">
                  <c:v>138117</c:v>
                </c:pt>
                <c:pt idx="1">
                  <c:v>150962</c:v>
                </c:pt>
                <c:pt idx="2">
                  <c:v>98040</c:v>
                </c:pt>
                <c:pt idx="3">
                  <c:v>164565</c:v>
                </c:pt>
                <c:pt idx="4">
                  <c:v>156343</c:v>
                </c:pt>
                <c:pt idx="5">
                  <c:v>111798</c:v>
                </c:pt>
                <c:pt idx="6">
                  <c:v>96330</c:v>
                </c:pt>
                <c:pt idx="7">
                  <c:v>165690</c:v>
                </c:pt>
                <c:pt idx="8">
                  <c:v>149979</c:v>
                </c:pt>
                <c:pt idx="9">
                  <c:v>137738</c:v>
                </c:pt>
                <c:pt idx="10">
                  <c:v>127141</c:v>
                </c:pt>
                <c:pt idx="11">
                  <c:v>131436</c:v>
                </c:pt>
                <c:pt idx="12">
                  <c:v>148731</c:v>
                </c:pt>
                <c:pt idx="13">
                  <c:v>138157</c:v>
                </c:pt>
                <c:pt idx="14">
                  <c:v>145141</c:v>
                </c:pt>
                <c:pt idx="15">
                  <c:v>157040</c:v>
                </c:pt>
                <c:pt idx="16">
                  <c:v>144544</c:v>
                </c:pt>
                <c:pt idx="17">
                  <c:v>91299</c:v>
                </c:pt>
                <c:pt idx="18">
                  <c:v>128380</c:v>
                </c:pt>
                <c:pt idx="19">
                  <c:v>147981</c:v>
                </c:pt>
                <c:pt idx="20">
                  <c:v>121620</c:v>
                </c:pt>
                <c:pt idx="21">
                  <c:v>181563</c:v>
                </c:pt>
                <c:pt idx="22">
                  <c:v>153596</c:v>
                </c:pt>
                <c:pt idx="23">
                  <c:v>167636</c:v>
                </c:pt>
                <c:pt idx="24">
                  <c:v>123864</c:v>
                </c:pt>
                <c:pt idx="25">
                  <c:v>196685</c:v>
                </c:pt>
                <c:pt idx="26">
                  <c:v>157140</c:v>
                </c:pt>
                <c:pt idx="27">
                  <c:v>125132</c:v>
                </c:pt>
                <c:pt idx="28">
                  <c:v>104342</c:v>
                </c:pt>
                <c:pt idx="29">
                  <c:v>142650</c:v>
                </c:pt>
                <c:pt idx="30">
                  <c:v>158939</c:v>
                </c:pt>
                <c:pt idx="31">
                  <c:v>163934</c:v>
                </c:pt>
                <c:pt idx="32">
                  <c:v>92334</c:v>
                </c:pt>
                <c:pt idx="33">
                  <c:v>143317</c:v>
                </c:pt>
                <c:pt idx="34">
                  <c:v>148558</c:v>
                </c:pt>
                <c:pt idx="35">
                  <c:v>71040</c:v>
                </c:pt>
                <c:pt idx="36">
                  <c:v>125547</c:v>
                </c:pt>
                <c:pt idx="37">
                  <c:v>123142</c:v>
                </c:pt>
                <c:pt idx="38">
                  <c:v>122105</c:v>
                </c:pt>
                <c:pt idx="39">
                  <c:v>117742</c:v>
                </c:pt>
                <c:pt idx="40">
                  <c:v>120558</c:v>
                </c:pt>
                <c:pt idx="41">
                  <c:v>195013</c:v>
                </c:pt>
                <c:pt idx="42">
                  <c:v>119089</c:v>
                </c:pt>
                <c:pt idx="43">
                  <c:v>160200</c:v>
                </c:pt>
                <c:pt idx="44">
                  <c:v>156785</c:v>
                </c:pt>
                <c:pt idx="45">
                  <c:v>143397</c:v>
                </c:pt>
                <c:pt idx="46">
                  <c:v>143322</c:v>
                </c:pt>
                <c:pt idx="47">
                  <c:v>130305</c:v>
                </c:pt>
                <c:pt idx="48">
                  <c:v>134696</c:v>
                </c:pt>
                <c:pt idx="49">
                  <c:v>153197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AC-4E44-9ECC-986C5FDB4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491119"/>
        <c:axId val="752493039"/>
      </c:barChart>
      <c:catAx>
        <c:axId val="75249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93039"/>
        <c:crosses val="autoZero"/>
        <c:auto val="1"/>
        <c:lblAlgn val="ctr"/>
        <c:lblOffset val="100"/>
        <c:noMultiLvlLbl val="0"/>
      </c:catAx>
      <c:valAx>
        <c:axId val="75249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9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1</xdr:row>
      <xdr:rowOff>0</xdr:rowOff>
    </xdr:from>
    <xdr:to>
      <xdr:col>13</xdr:col>
      <xdr:colOff>501650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D6961-3A18-C247-08FA-4F0AAFA92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4DF29-B4EB-DA52-D2B6-3EB89E2BF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1</xdr:row>
      <xdr:rowOff>158750</xdr:rowOff>
    </xdr:from>
    <xdr:to>
      <xdr:col>14</xdr:col>
      <xdr:colOff>361950</xdr:colOff>
      <xdr:row>16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416E4-53E8-39BE-6F57-D310004A8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5F393-DFF4-827B-975D-4EE7085FC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107950</xdr:rowOff>
    </xdr:from>
    <xdr:to>
      <xdr:col>12</xdr:col>
      <xdr:colOff>336550</xdr:colOff>
      <xdr:row>15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B8D4E-DE40-B8A1-D54C-22994C21E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1</xdr:row>
      <xdr:rowOff>0</xdr:rowOff>
    </xdr:from>
    <xdr:to>
      <xdr:col>11</xdr:col>
      <xdr:colOff>469900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1F4A4-BC76-9378-1BF6-BB6ACE859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254000</xdr:colOff>
      <xdr:row>0</xdr:row>
      <xdr:rowOff>44450</xdr:rowOff>
    </xdr:from>
    <xdr:to>
      <xdr:col>17</xdr:col>
      <xdr:colOff>368300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FC062-23E3-F21E-55DC-83D09B606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8E42A-55EA-F744-55B2-2958BD671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0</xdr:row>
      <xdr:rowOff>146050</xdr:rowOff>
    </xdr:from>
    <xdr:to>
      <xdr:col>14</xdr:col>
      <xdr:colOff>450850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42C39-B8D2-9280-470C-2AE8DDBF1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D8257-5240-D613-5424-FDB4A6A37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282575</xdr:colOff>
      <xdr:row>1</xdr:row>
      <xdr:rowOff>0</xdr:rowOff>
    </xdr:from>
    <xdr:to>
      <xdr:col>17</xdr:col>
      <xdr:colOff>587375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57DDF-3D57-4CC7-4438-9C8BB23C1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120650</xdr:rowOff>
    </xdr:from>
    <xdr:to>
      <xdr:col>13</xdr:col>
      <xdr:colOff>231775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08D9F-3460-36EB-C02E-693546A98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F11F2-98A3-0F1B-8BFD-7973F24BC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85.569330555554" createdVersion="8" refreshedVersion="8" minRefreshableVersion="3" recordCount="300" xr:uid="{4F53CD41-E920-4DE8-A58A-6D7082EBA466}">
  <cacheSource type="worksheet">
    <worksheetSource ref="A1:P301" sheet="Posts"/>
  </cacheSource>
  <cacheFields count="15">
    <cacheField name="PostID" numFmtId="0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0">
      <sharedItems count="4">
        <s v="YouTube"/>
        <s v="LinkedIn"/>
        <s v="Instagram"/>
        <s v="Twitter"/>
      </sharedItems>
    </cacheField>
    <cacheField name="Date" numFmtId="14">
      <sharedItems containsDate="1" containsMixedTypes="1" minDate="2025-09-03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2">
        <s v="#AppleWatchUltra2 #HealthTech"/>
        <s v="#MacBookAirM3 #AppleInnovation"/>
        <s v="#AppleDesign #Innovation"/>
        <s v="#AppleEvent #iPadPro"/>
        <s v="#ShotOniPhone"/>
        <s v="#AppleMusic #AppleLifestyle"/>
        <s v="#AppleWatch #Health"/>
        <s v="#iPhone16Launch #AppleEvent"/>
        <s v="#AppleEvent #iPhone16"/>
        <s v="#iPhonePhotography #ShotOniPhone"/>
        <s v="#MacBookProM3"/>
        <s v="#Sustainability #AppleEarth"/>
      </sharedItems>
    </cacheField>
    <cacheField name="Separate Hashtag" numFmtId="0">
      <sharedItems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1">
      <sharedItems containsSemiMixedTypes="0" containsString="0" containsNumber="1" containsInteger="1" minValue="40281" maxValue="249988"/>
    </cacheField>
    <cacheField name="Engagement Rate" numFmtId="1">
      <sharedItems containsSemiMixedTypes="0" containsString="0" containsNumber="1" minValue="2649.0032415074525" maxValue="25737.003257490109"/>
    </cacheField>
    <cacheField name="Engagement" numFmtId="1">
      <sharedItems containsSemiMixedTypes="0" containsString="0" containsNumber="1" containsInteger="1" minValue="2987" maxValue="26469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85.58461539352" createdVersion="8" refreshedVersion="8" minRefreshableVersion="3" recordCount="200" xr:uid="{3DF3B4E1-2070-4B70-8392-409747814104}">
  <cacheSource type="worksheet">
    <worksheetSource ref="A1:H201" sheet="Engagement Summary"/>
  </cacheSource>
  <cacheFields count="8">
    <cacheField name="Month" numFmtId="0">
      <sharedItems count="12">
        <s v="Jun"/>
        <s v="Jul"/>
        <s v="Aug"/>
        <s v="Sep"/>
        <s v="Oct"/>
        <s v="Nov"/>
        <s v="Dec"/>
        <s v="Jan"/>
        <s v="Feb"/>
        <s v="Mar"/>
        <s v="Apr"/>
        <s v="May"/>
      </sharedItems>
    </cacheField>
    <cacheField name="Week_Start_Date" numFmtId="164">
      <sharedItems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85.672579976854" createdVersion="8" refreshedVersion="8" minRefreshableVersion="3" recordCount="200" xr:uid="{179C1FF4-885E-4C48-88F4-6D780D8D792E}">
  <cacheSource type="worksheet">
    <worksheetSource ref="A1:I201" sheet="Engagement Summary"/>
  </cacheSource>
  <cacheFields count="9">
    <cacheField name="Month" numFmtId="0">
      <sharedItems/>
    </cacheField>
    <cacheField name="Week_Start_Date" numFmtId="164">
      <sharedItems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 count="198">
        <n v="23944"/>
        <n v="29873"/>
        <n v="50372"/>
        <n v="33928"/>
        <n v="25379"/>
        <n v="46751"/>
        <n v="44546"/>
        <n v="34286"/>
        <n v="15110"/>
        <n v="22087"/>
        <n v="33762"/>
        <n v="27081"/>
        <n v="44947"/>
        <n v="19596"/>
        <n v="48019"/>
        <n v="52003"/>
        <n v="28313"/>
        <n v="57639"/>
        <n v="11013"/>
        <n v="59378"/>
        <n v="33705"/>
        <n v="11828"/>
        <n v="17909"/>
        <n v="48356"/>
        <n v="23109"/>
        <n v="12023"/>
        <n v="24537"/>
        <n v="36661"/>
        <n v="48659"/>
        <n v="43848"/>
        <n v="47804"/>
        <n v="37766"/>
        <n v="53590"/>
        <n v="12563"/>
        <n v="46060"/>
        <n v="39197"/>
        <n v="13586"/>
        <n v="26087"/>
        <n v="58868"/>
        <n v="33225"/>
        <n v="39750"/>
        <n v="16643"/>
        <n v="37523"/>
        <n v="46727"/>
        <n v="21005"/>
        <n v="53543"/>
        <n v="10161"/>
        <n v="26029"/>
        <n v="59745"/>
        <n v="24226"/>
        <n v="38731"/>
        <n v="53922"/>
        <n v="54848"/>
        <n v="13390"/>
        <n v="15997"/>
        <n v="22693"/>
        <n v="59815"/>
        <n v="52092"/>
        <n v="10541"/>
        <n v="31817"/>
        <n v="47861"/>
        <n v="23428"/>
        <n v="53934"/>
        <n v="58831"/>
        <n v="20258"/>
        <n v="26044"/>
        <n v="39411"/>
        <n v="15469"/>
        <n v="38854"/>
        <n v="16256"/>
        <n v="20720"/>
        <n v="43937"/>
        <n v="43598"/>
        <n v="11651"/>
        <n v="29194"/>
        <n v="35051"/>
        <n v="37386"/>
        <n v="19518"/>
        <n v="56026"/>
        <n v="26184"/>
        <n v="43787"/>
        <n v="31621"/>
        <n v="20028"/>
        <n v="22448"/>
        <n v="55253"/>
        <n v="44051"/>
        <n v="59811"/>
        <n v="40447"/>
        <n v="28394"/>
        <n v="44501"/>
        <n v="40254"/>
        <n v="28509"/>
        <n v="58998"/>
        <n v="24472"/>
        <n v="55657"/>
        <n v="13471"/>
        <n v="51796"/>
        <n v="40268"/>
        <n v="18329"/>
        <n v="44865"/>
        <n v="56850"/>
        <n v="56698"/>
        <n v="38272"/>
        <n v="52845"/>
        <n v="16397"/>
        <n v="42373"/>
        <n v="45525"/>
        <n v="34570"/>
        <n v="28284"/>
        <n v="28994"/>
        <n v="33284"/>
        <n v="27833"/>
        <n v="35122"/>
        <n v="15017"/>
        <n v="26370"/>
        <n v="39252"/>
        <n v="17999"/>
        <n v="32436"/>
        <n v="52963"/>
        <n v="12096"/>
        <n v="58201"/>
        <n v="35279"/>
        <n v="53363"/>
        <n v="58709"/>
        <n v="36201"/>
        <n v="29715"/>
        <n v="39309"/>
        <n v="25078"/>
        <n v="15105"/>
        <n v="39312"/>
        <n v="12839"/>
        <n v="13384"/>
        <n v="53619"/>
        <n v="52821"/>
        <n v="23493"/>
        <n v="27069"/>
        <n v="56907"/>
        <n v="17531"/>
        <n v="47051"/>
        <n v="17736"/>
        <n v="17710"/>
        <n v="11619"/>
        <n v="23975"/>
        <n v="55603"/>
        <n v="33252"/>
        <n v="25261"/>
        <n v="11431"/>
        <n v="19067"/>
        <n v="47481"/>
        <n v="37037"/>
        <n v="19557"/>
        <n v="19435"/>
        <n v="47766"/>
        <n v="10162"/>
        <n v="44742"/>
        <n v="29675"/>
        <n v="18461"/>
        <n v="27015"/>
        <n v="42591"/>
        <n v="38047"/>
        <n v="44782"/>
        <n v="19833"/>
        <n v="17896"/>
        <n v="42972"/>
        <n v="59733"/>
        <n v="51800"/>
        <n v="40508"/>
        <n v="15347"/>
        <n v="40314"/>
        <n v="12643"/>
        <n v="50785"/>
        <n v="28681"/>
        <n v="48328"/>
        <n v="25892"/>
        <n v="57299"/>
        <n v="27073"/>
        <n v="46768"/>
        <n v="40682"/>
        <n v="42262"/>
        <n v="41358"/>
        <n v="24289"/>
        <n v="59823"/>
        <n v="17927"/>
        <n v="58330"/>
        <n v="11171"/>
        <n v="21918"/>
        <n v="51903"/>
        <n v="49110"/>
        <n v="21929"/>
        <n v="12539"/>
        <n v="55951"/>
        <n v="32669"/>
        <n v="15432"/>
        <n v="30644"/>
        <n v="28745"/>
        <n v="38228"/>
        <n v="44521"/>
        <n v="41703"/>
      </sharedItems>
    </cacheField>
    <cacheField name="Engagement" numFmtId="0">
      <sharedItems containsSemiMixedTypes="0" containsString="0" containsNumber="1" minValue="1015499.9999999998" maxValue="14954400.000000004" count="200">
        <n v="5877700"/>
        <n v="7726300"/>
        <n v="11015800"/>
        <n v="2080000"/>
        <n v="4782299.9999999991"/>
        <n v="7387799.9999999991"/>
        <n v="2870800.0000000005"/>
        <n v="7387000"/>
        <n v="1928299.9999999998"/>
        <n v="8870700.0000000019"/>
        <n v="1577400"/>
        <n v="10646800"/>
        <n v="10633400"/>
        <n v="2813300"/>
        <n v="1078100"/>
        <n v="12458600.000000002"/>
        <n v="3762400.0000000009"/>
        <n v="1682300"/>
        <n v="2848900"/>
        <n v="3911800.0000000005"/>
        <n v="11041700"/>
        <n v="9181599.9999999981"/>
        <n v="2356500"/>
        <n v="10117900"/>
        <n v="3364799.9999999995"/>
        <n v="5197099.9999999991"/>
        <n v="2865800.0000000014"/>
        <n v="3125299.9999999995"/>
        <n v="9866400.0000000019"/>
        <n v="11385000"/>
        <n v="14792400.000000002"/>
        <n v="14362299.999999998"/>
        <n v="8194699.9999999991"/>
        <n v="7100099.9999999991"/>
        <n v="13277499.999999998"/>
        <n v="4324300.0000000019"/>
        <n v="8593899.9999999981"/>
        <n v="6782799.9999999991"/>
        <n v="14831100"/>
        <n v="1671000"/>
        <n v="4799099.9999999991"/>
        <n v="14804300.000000002"/>
        <n v="9544500"/>
        <n v="9025700.0000000019"/>
        <n v="4771099.9999999991"/>
        <n v="1653000"/>
        <n v="2111600"/>
        <n v="7579400.0000000009"/>
        <n v="14135400.000000002"/>
        <n v="14297000"/>
        <n v="1413500"/>
        <n v="14770099.999999998"/>
        <n v="11947199.999999996"/>
        <n v="13514700"/>
        <n v="9908700"/>
        <n v="4338000"/>
        <n v="13995100"/>
        <n v="2707100"/>
        <n v="3007399.9999999995"/>
        <n v="7784300.0000000019"/>
        <n v="4990099.9999999981"/>
        <n v="2120500"/>
        <n v="13466100.000000002"/>
        <n v="1590600"/>
        <n v="14366299.999999998"/>
        <n v="13557600.000000002"/>
        <n v="7298700"/>
        <n v="9068500"/>
        <n v="12045400"/>
        <n v="11548700.000000002"/>
        <n v="6439999.9999999991"/>
        <n v="4185200.0000000005"/>
        <n v="6275600"/>
        <n v="12535700"/>
        <n v="12905200"/>
        <n v="6648099.9999999981"/>
        <n v="1128300.0000000002"/>
        <n v="4369100"/>
        <n v="14219699.999999998"/>
        <n v="3617000"/>
        <n v="1843799.9999999998"/>
        <n v="3009499.9999999995"/>
        <n v="14907599.999999996"/>
        <n v="1975200.0000000002"/>
        <n v="6542600.0000000009"/>
        <n v="3681899.9999999995"/>
        <n v="10205099.999999996"/>
        <n v="4299400"/>
        <n v="10775599.999999998"/>
        <n v="10566500.000000004"/>
        <n v="14171700.000000002"/>
        <n v="9183499.9999999981"/>
        <n v="13223200.000000004"/>
        <n v="5373200"/>
        <n v="5630500.0000000009"/>
        <n v="1934599.9999999995"/>
        <n v="1058700.0000000005"/>
        <n v="2276300"/>
        <n v="7961500.0000000028"/>
        <n v="13098700"/>
        <n v="10135300.000000004"/>
        <n v="10564800.000000002"/>
        <n v="3555600"/>
        <n v="6904199.9999999972"/>
        <n v="2809900"/>
        <n v="11908899.999999998"/>
        <n v="4386600"/>
        <n v="11539999.999999998"/>
        <n v="9424600.0000000019"/>
        <n v="8697499.9999999981"/>
        <n v="9155700.0000000037"/>
        <n v="14748799.999999998"/>
        <n v="8251599.9999999972"/>
        <n v="4260200"/>
        <n v="13929499.999999998"/>
        <n v="9796900.0000000019"/>
        <n v="14216099.999999996"/>
        <n v="1015499.9999999998"/>
        <n v="13395000"/>
        <n v="7749400.0000000009"/>
        <n v="8622899.9999999963"/>
        <n v="11464800.000000002"/>
        <n v="4854700"/>
        <n v="3879500.0000000005"/>
        <n v="3144700"/>
        <n v="9795999.9999999981"/>
        <n v="7327799.9999999991"/>
        <n v="6507700"/>
        <n v="12278200"/>
        <n v="11293200.000000002"/>
        <n v="11986900"/>
        <n v="14925100.000000004"/>
        <n v="5878100.0000000009"/>
        <n v="6379800"/>
        <n v="10869600.000000002"/>
        <n v="6093900"/>
        <n v="3951600"/>
        <n v="6029000"/>
        <n v="13668800.000000002"/>
        <n v="9666099.9999999981"/>
        <n v="8295400"/>
        <n v="3274600"/>
        <n v="7799000"/>
        <n v="6880999.9999999991"/>
        <n v="12836200"/>
        <n v="14366899.999999998"/>
        <n v="1265900"/>
        <n v="9651599.9999999944"/>
        <n v="8456700"/>
        <n v="2503700"/>
        <n v="13649800.000000006"/>
        <n v="2210899.9999999995"/>
        <n v="3201000.0000000005"/>
        <n v="1878700.0000000005"/>
        <n v="14954400.000000004"/>
        <n v="7170900.0000000009"/>
        <n v="4451800.0000000009"/>
        <n v="6390900"/>
        <n v="2835100.0000000009"/>
        <n v="2528200"/>
        <n v="1507500.0000000002"/>
        <n v="3836500"/>
        <n v="2100200.0000000005"/>
        <n v="2394700.0000000005"/>
        <n v="10484000.000000004"/>
        <n v="12621900.000000002"/>
        <n v="8861000"/>
        <n v="6214200"/>
        <n v="6630700.0000000009"/>
        <n v="14556500.000000004"/>
        <n v="6008500.0000000019"/>
        <n v="4422800"/>
        <n v="5347200"/>
        <n v="5943700"/>
        <n v="6971100"/>
        <n v="14788800.000000004"/>
        <n v="8717500"/>
        <n v="7430700"/>
        <n v="5673300"/>
        <n v="13820199.999999998"/>
        <n v="10502800"/>
        <n v="10249300"/>
        <n v="13514900.000000002"/>
        <n v="1825900.0000000002"/>
        <n v="13877500"/>
        <n v="2484900"/>
        <n v="9176800"/>
        <n v="11610800.000000006"/>
        <n v="9970900"/>
        <n v="6486899.9999999991"/>
        <n v="13688800.000000006"/>
        <n v="7309500.0000000009"/>
        <n v="12788600.000000002"/>
        <n v="8091000"/>
        <n v="3356700.0000000005"/>
        <n v="4529200"/>
        <n v="8481300"/>
        <n v="10713600"/>
        <n v="6163100"/>
        <n v="1988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0.50832523148" createdVersion="8" refreshedVersion="8" minRefreshableVersion="3" recordCount="512" xr:uid="{34381186-8114-4614-B288-96750F5F1073}">
  <cacheSource type="worksheet">
    <worksheetSource ref="A1:P1048576" sheet="Posts"/>
  </cacheSource>
  <cacheFields count="16">
    <cacheField name="PostID" numFmtId="0">
      <sharedItems containsBlank="1"/>
    </cacheField>
    <cacheField name="Platform" numFmtId="0">
      <sharedItems containsBlank="1" count="5">
        <s v="YouTube"/>
        <s v="LinkedIn"/>
        <s v="Instagram"/>
        <s v="Twitter"/>
        <m/>
      </sharedItems>
    </cacheField>
    <cacheField name="Date" numFmtId="0">
      <sharedItems containsDate="1" containsBlank="1" containsMixedTypes="1" minDate="2025-09-03T00:00:00" maxDate="2025-10-16T00:00:00"/>
    </cacheField>
    <cacheField name="ContentType" numFmtId="0">
      <sharedItems containsBlank="1" count="5">
        <s v="Image"/>
        <s v="Tweet"/>
        <s v="Video"/>
        <s v="Carousel"/>
        <m/>
      </sharedItems>
    </cacheField>
    <cacheField name="Hashtags" numFmtId="0">
      <sharedItems containsBlank="1"/>
    </cacheField>
    <cacheField name="Separate Hashtag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Engagement Rate" numFmtId="0">
      <sharedItems containsString="0" containsBlank="1" containsNumber="1" minValue="2649.0032415074525" maxValue="25737.003257490109"/>
    </cacheField>
    <cacheField name="Total Engagement" numFmtId="0">
      <sharedItems containsString="0" containsBlank="1" containsNumber="1" containsInteger="1" minValue="3807" maxValue="29197"/>
    </cacheField>
    <cacheField name="Post Interaction Rate" numFmtId="0">
      <sharedItems containsString="0" containsBlank="1" containsNumber="1" minValue="2.7598255038978876" maxValue="53.366418149384806"/>
    </cacheField>
    <cacheField name="Campaig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0.510328009259" createdVersion="8" refreshedVersion="8" minRefreshableVersion="3" recordCount="200" xr:uid="{DC106A2B-233E-40D6-97B8-011FC02398B7}">
  <cacheSource type="worksheet">
    <worksheetSource ref="A1:J201" sheet="Engagement Summary"/>
  </cacheSource>
  <cacheFields count="10">
    <cacheField name="Month" numFmtId="0">
      <sharedItems/>
    </cacheField>
    <cacheField name="Week_Start_Date" numFmtId="164">
      <sharedItems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Engagement" numFmtId="0">
      <sharedItems containsSemiMixedTypes="0" containsString="0" containsNumber="1" minValue="1015499.9999999998" maxValue="14954400.000000004"/>
    </cacheField>
    <cacheField name="Cost per new follower" numFmtId="1">
      <sharedItems containsSemiMixedTypes="0" containsString="0" containsNumber="1" minValue="1.2104385873528491" maxValue="53.9026974951830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0.52532025463" createdVersion="8" refreshedVersion="8" minRefreshableVersion="3" recordCount="300" xr:uid="{24AA935A-907F-4EDA-B594-26CF4AD397B7}">
  <cacheSource type="worksheet">
    <worksheetSource ref="A1:C301" sheet="content type performs best cont"/>
  </cacheSource>
  <cacheFields count="3">
    <cacheField name="Platform" numFmtId="0">
      <sharedItems count="4">
        <s v="YouTube"/>
        <s v="LinkedIn"/>
        <s v="Instagram"/>
        <s v="Twitter"/>
      </sharedItems>
    </cacheField>
    <cacheField name="ContentType" numFmtId="0">
      <sharedItems count="4">
        <s v="Image"/>
        <s v="Tweet"/>
        <s v="Video"/>
        <s v="Carousel"/>
      </sharedItems>
    </cacheField>
    <cacheField name="Total Engagement" numFmtId="1">
      <sharedItems containsSemiMixedTypes="0" containsString="0" containsNumber="1" containsInteger="1" minValue="3807" maxValue="29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0.643228009256" createdVersion="8" refreshedVersion="8" minRefreshableVersion="3" recordCount="200" xr:uid="{CA688A5E-6010-4E75-B0C6-EFA25AA71E2F}">
  <cacheSource type="worksheet">
    <worksheetSource ref="A1:K201" sheet="Engagement Summary"/>
  </cacheSource>
  <cacheFields count="11">
    <cacheField name="Month" numFmtId="0">
      <sharedItems/>
    </cacheField>
    <cacheField name="Week_Start_Date" numFmtId="164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Engagement" numFmtId="0">
      <sharedItems containsSemiMixedTypes="0" containsString="0" containsNumber="1" minValue="1015499.9999999998" maxValue="14954400.000000004"/>
    </cacheField>
    <cacheField name="Cost per new follower" numFmtId="1">
      <sharedItems containsSemiMixedTypes="0" containsString="0" containsNumber="1" minValue="1.2104385873528491" maxValue="53.902697495183041"/>
    </cacheField>
    <cacheField name="ROI" numFmtId="1">
      <sharedItems containsSemiMixedTypes="0" containsString="0" containsNumber="1" minValue="22.451529602865531" maxValue="1471.60007872466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0.871153472224" createdVersion="8" refreshedVersion="8" minRefreshableVersion="3" recordCount="256" xr:uid="{A190E1EC-7258-4C30-94A7-55FF6ADCB75F}">
  <cacheSource type="worksheet">
    <worksheetSource ref="A1:L1048576" sheet="Engagement Summary"/>
  </cacheSource>
  <cacheFields count="12">
    <cacheField name="Month" numFmtId="0">
      <sharedItems containsBlank="1"/>
    </cacheField>
    <cacheField name="Week_Start_Date" numFmtId="0">
      <sharedItems containsBlank="1" count="51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  <m/>
      </sharedItems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0">
      <sharedItems containsString="0" containsBlank="1" containsNumber="1" containsInteger="1" minValue="1016" maxValue="9984"/>
    </cacheField>
    <cacheField name="Unfollows" numFmtId="0">
      <sharedItems containsString="0" containsBlank="1" containsNumber="1" containsInteger="1" minValue="67" maxValue="1417"/>
    </cacheField>
    <cacheField name="Total_Followers" numFmtId="0">
      <sharedItems containsString="0" containsBlank="1" containsNumber="1" containsInteger="1" minValue="103777" maxValue="1186398"/>
    </cacheField>
    <cacheField name="Engagement_Rate" numFmtId="0">
      <sharedItems containsString="0" containsBlank="1" containsNumber="1" minValue="1.381177897889402" maxValue="92.312204605638044"/>
    </cacheField>
    <cacheField name="Ad_Spend" numFmtId="0">
      <sharedItems containsString="0" containsBlank="1" containsNumber="1" containsInteger="1" minValue="10161" maxValue="59823"/>
    </cacheField>
    <cacheField name="Engagement" numFmtId="0">
      <sharedItems containsString="0" containsBlank="1" containsNumber="1" minValue="1015499.9999999998" maxValue="14954400.000000004"/>
    </cacheField>
    <cacheField name="Cost per new follower" numFmtId="0">
      <sharedItems containsString="0" containsBlank="1" containsNumber="1" minValue="1.2104385873528491" maxValue="53.902697495183041"/>
    </cacheField>
    <cacheField name="ROI" numFmtId="0">
      <sharedItems containsString="0" containsBlank="1" containsNumber="1" minValue="22.451529602865531" maxValue="1471.6000787246608"/>
    </cacheField>
    <cacheField name="Net followers" numFmtId="0">
      <sharedItems containsString="0" containsBlank="1" containsNumber="1" containsInteger="1" minValue="893" maxValue="9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0.891472800926" createdVersion="8" refreshedVersion="8" minRefreshableVersion="3" recordCount="200" xr:uid="{3B879436-8CEB-4054-981E-B60300053279}">
  <cacheSource type="worksheet">
    <worksheetSource ref="A1:L201" sheet="Engagement Summary"/>
  </cacheSource>
  <cacheFields count="12">
    <cacheField name="Month" numFmtId="0">
      <sharedItems/>
    </cacheField>
    <cacheField name="Week_Start_Date" numFmtId="2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/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Engagement" numFmtId="0">
      <sharedItems containsSemiMixedTypes="0" containsString="0" containsNumber="1" minValue="1015499.9999999998" maxValue="14954400.000000004"/>
    </cacheField>
    <cacheField name="Cost per new follower" numFmtId="1">
      <sharedItems containsSemiMixedTypes="0" containsString="0" containsNumber="1" minValue="1.2104385873528491" maxValue="53.902697495183041"/>
    </cacheField>
    <cacheField name="ROI" numFmtId="1">
      <sharedItems containsSemiMixedTypes="0" containsString="0" containsNumber="1" minValue="22.451529602865531" maxValue="1471.6000787246608"/>
    </cacheField>
    <cacheField name="Net followers" numFmtId="0">
      <sharedItems containsSemiMixedTypes="0" containsString="0" containsNumber="1" containsInteger="1" minValue="893" maxValue="9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s v="2024-12-23"/>
    <x v="0"/>
    <x v="0"/>
    <s v="AppleWatchUltra2  HealthTech"/>
    <n v="24516"/>
    <n v="976"/>
    <n v="974"/>
    <n v="2675"/>
    <n v="23275"/>
    <n v="202932"/>
    <n v="25492.004799637318"/>
    <n v="26466"/>
    <x v="0"/>
  </r>
  <r>
    <x v="1"/>
    <x v="1"/>
    <d v="2025-09-03T00:00:00"/>
    <x v="0"/>
    <x v="1"/>
    <s v="MacBookAirM3  AppleInnovation"/>
    <n v="4779"/>
    <n v="1110"/>
    <n v="436"/>
    <n v="1574"/>
    <n v="77167"/>
    <n v="71585"/>
    <n v="5889.0060906614517"/>
    <n v="6325"/>
    <x v="1"/>
  </r>
  <r>
    <x v="2"/>
    <x v="2"/>
    <s v="2025-05-12"/>
    <x v="1"/>
    <x v="2"/>
    <s v="AppleDesign  Innovation"/>
    <n v="19308"/>
    <n v="1318"/>
    <n v="795"/>
    <n v="1499"/>
    <n v="52307"/>
    <n v="193087"/>
    <n v="20626.004117314991"/>
    <n v="21421"/>
    <x v="2"/>
  </r>
  <r>
    <x v="3"/>
    <x v="0"/>
    <s v="2024-08-12"/>
    <x v="2"/>
    <x v="3"/>
    <s v="AppleEvent  iPadPro"/>
    <n v="3581"/>
    <n v="517"/>
    <n v="880"/>
    <n v="1925"/>
    <n v="18636"/>
    <n v="248611"/>
    <n v="4098.0035396663861"/>
    <n v="4978"/>
    <x v="3"/>
  </r>
  <r>
    <x v="4"/>
    <x v="0"/>
    <d v="2025-09-04T00:00:00"/>
    <x v="2"/>
    <x v="0"/>
    <s v="AppleWatchUltra2  HealthTech"/>
    <n v="21708"/>
    <n v="435"/>
    <n v="317"/>
    <n v="1213"/>
    <n v="70701"/>
    <n v="83585"/>
    <n v="22143.003792546511"/>
    <n v="22460"/>
    <x v="1"/>
  </r>
  <r>
    <x v="5"/>
    <x v="1"/>
    <d v="2025-09-05T00:00:00"/>
    <x v="0"/>
    <x v="4"/>
    <s v="ShotOniPhone"/>
    <n v="14677"/>
    <n v="533"/>
    <n v="759"/>
    <n v="753"/>
    <n v="23275"/>
    <n v="66958"/>
    <n v="15210.011335464022"/>
    <n v="15969"/>
    <x v="1"/>
  </r>
  <r>
    <x v="6"/>
    <x v="2"/>
    <s v="2024-06-24"/>
    <x v="3"/>
    <x v="5"/>
    <s v="AppleMusic  AppleLifestyle"/>
    <n v="7713"/>
    <n v="575"/>
    <n v="417"/>
    <n v="336"/>
    <n v="61660"/>
    <n v="66017"/>
    <n v="8288.0063165548272"/>
    <n v="8705"/>
    <x v="3"/>
  </r>
  <r>
    <x v="7"/>
    <x v="2"/>
    <s v="2024-07-13"/>
    <x v="2"/>
    <x v="6"/>
    <s v="AppleWatch  Health"/>
    <n v="18639"/>
    <n v="1360"/>
    <n v="898"/>
    <n v="2011"/>
    <n v="42841"/>
    <n v="247779"/>
    <n v="19999.003624197368"/>
    <n v="20897"/>
    <x v="3"/>
  </r>
  <r>
    <x v="8"/>
    <x v="0"/>
    <s v="2024-08-30"/>
    <x v="3"/>
    <x v="1"/>
    <s v="MacBookAirM3  AppleInnovation"/>
    <n v="6804"/>
    <n v="787"/>
    <n v="970"/>
    <n v="1095"/>
    <n v="56343"/>
    <n v="164677"/>
    <n v="7591.0058903186236"/>
    <n v="8561"/>
    <x v="0"/>
  </r>
  <r>
    <x v="9"/>
    <x v="3"/>
    <s v="2025-03-11"/>
    <x v="2"/>
    <x v="7"/>
    <s v="iPhone16Launch  AppleEvent"/>
    <n v="20222"/>
    <n v="712"/>
    <n v="604"/>
    <n v="1272"/>
    <n v="71598"/>
    <n v="216422"/>
    <n v="20934.002790843813"/>
    <n v="21538"/>
    <x v="2"/>
  </r>
  <r>
    <x v="10"/>
    <x v="0"/>
    <s v="2025-02-02"/>
    <x v="3"/>
    <x v="3"/>
    <s v="AppleEvent  iPadPro"/>
    <n v="12136"/>
    <n v="1117"/>
    <n v="834"/>
    <n v="892"/>
    <n v="24675"/>
    <n v="183273"/>
    <n v="13253.004550588466"/>
    <n v="14087"/>
    <x v="2"/>
  </r>
  <r>
    <x v="11"/>
    <x v="0"/>
    <s v="2024-07-21"/>
    <x v="1"/>
    <x v="1"/>
    <s v="MacBookAirM3  AppleInnovation"/>
    <n v="2009"/>
    <n v="1072"/>
    <n v="550"/>
    <n v="1437"/>
    <n v="22982"/>
    <n v="69426"/>
    <n v="3081.007922104111"/>
    <n v="3631"/>
    <x v="3"/>
  </r>
  <r>
    <x v="12"/>
    <x v="0"/>
    <s v="2024-11-18"/>
    <x v="3"/>
    <x v="5"/>
    <s v="AppleMusic  AppleLifestyle"/>
    <n v="21255"/>
    <n v="1452"/>
    <n v="625"/>
    <n v="1624"/>
    <n v="21282"/>
    <n v="57778"/>
    <n v="22707.010817266088"/>
    <n v="23332"/>
    <x v="4"/>
  </r>
  <r>
    <x v="13"/>
    <x v="0"/>
    <d v="2025-09-06T00:00:00"/>
    <x v="1"/>
    <x v="6"/>
    <s v="AppleWatch  Health"/>
    <n v="7124"/>
    <n v="469"/>
    <n v="851"/>
    <n v="2571"/>
    <n v="33802"/>
    <n v="216313"/>
    <n v="7593.0039341139918"/>
    <n v="8444"/>
    <x v="1"/>
  </r>
  <r>
    <x v="14"/>
    <x v="1"/>
    <d v="2025-09-07T00:00:00"/>
    <x v="1"/>
    <x v="2"/>
    <s v="AppleDesign  Innovation"/>
    <n v="3015"/>
    <n v="997"/>
    <n v="783"/>
    <n v="617"/>
    <n v="77167"/>
    <n v="82229"/>
    <n v="4012.009522188036"/>
    <n v="4795"/>
    <x v="1"/>
  </r>
  <r>
    <x v="15"/>
    <x v="2"/>
    <s v="2024-08-26"/>
    <x v="3"/>
    <x v="6"/>
    <s v="AppleWatch  Health"/>
    <n v="4193"/>
    <n v="924"/>
    <n v="707"/>
    <n v="2696"/>
    <n v="55075"/>
    <n v="126652"/>
    <n v="5117.0055822253107"/>
    <n v="5824"/>
    <x v="3"/>
  </r>
  <r>
    <x v="16"/>
    <x v="1"/>
    <s v="2025-05-05"/>
    <x v="1"/>
    <x v="8"/>
    <s v="AppleEvent  iPhone16"/>
    <n v="10415"/>
    <n v="1388"/>
    <n v="725"/>
    <n v="2462"/>
    <n v="53082"/>
    <n v="168267"/>
    <n v="11803.00430862855"/>
    <n v="12528"/>
    <x v="4"/>
  </r>
  <r>
    <x v="17"/>
    <x v="1"/>
    <s v="2024-08-19"/>
    <x v="0"/>
    <x v="6"/>
    <s v="AppleWatch  Health"/>
    <n v="15550"/>
    <n v="204"/>
    <n v="279"/>
    <n v="1646"/>
    <n v="35819"/>
    <n v="219436"/>
    <n v="15754.001271441331"/>
    <n v="16033"/>
    <x v="0"/>
  </r>
  <r>
    <x v="18"/>
    <x v="1"/>
    <s v="2024-06-23"/>
    <x v="1"/>
    <x v="8"/>
    <s v="AppleEvent  iPhone16"/>
    <n v="16512"/>
    <n v="1050"/>
    <n v="971"/>
    <n v="1891"/>
    <n v="15865"/>
    <n v="166503"/>
    <n v="17562.005831726754"/>
    <n v="18533"/>
    <x v="3"/>
  </r>
  <r>
    <x v="19"/>
    <x v="0"/>
    <s v="2024-09-09"/>
    <x v="2"/>
    <x v="2"/>
    <s v="AppleDesign  Innovation"/>
    <n v="6158"/>
    <n v="277"/>
    <n v="512"/>
    <n v="2189"/>
    <n v="76881"/>
    <n v="124878"/>
    <n v="6435.0041000016017"/>
    <n v="6947"/>
    <x v="3"/>
  </r>
  <r>
    <x v="20"/>
    <x v="3"/>
    <d v="2025-09-08T00:00:00"/>
    <x v="3"/>
    <x v="9"/>
    <s v="iPhonePhotography  ShotOniPhone"/>
    <n v="22309"/>
    <n v="773"/>
    <n v="854"/>
    <n v="2387"/>
    <n v="72396"/>
    <n v="97056"/>
    <n v="23082.008799043851"/>
    <n v="23936"/>
    <x v="1"/>
  </r>
  <r>
    <x v="21"/>
    <x v="2"/>
    <s v="2025-02-27"/>
    <x v="0"/>
    <x v="5"/>
    <s v="AppleMusic  AppleLifestyle"/>
    <n v="8970"/>
    <n v="331"/>
    <n v="968"/>
    <n v="2296"/>
    <n v="24613"/>
    <n v="198562"/>
    <n v="9301.0048750516216"/>
    <n v="10269"/>
    <x v="3"/>
  </r>
  <r>
    <x v="22"/>
    <x v="3"/>
    <s v="2024-11-06"/>
    <x v="3"/>
    <x v="8"/>
    <s v="AppleEvent  iPhone16"/>
    <n v="8938"/>
    <n v="800"/>
    <n v="842"/>
    <n v="2072"/>
    <n v="31736"/>
    <n v="59975"/>
    <n v="9738.0140391829937"/>
    <n v="10580"/>
    <x v="3"/>
  </r>
  <r>
    <x v="23"/>
    <x v="1"/>
    <s v="2025-01-23"/>
    <x v="2"/>
    <x v="7"/>
    <s v="iPhone16Launch  AppleEvent"/>
    <n v="23168"/>
    <n v="1265"/>
    <n v="441"/>
    <n v="1612"/>
    <n v="66615"/>
    <n v="197795"/>
    <n v="24433.002229581132"/>
    <n v="24874"/>
    <x v="3"/>
  </r>
  <r>
    <x v="24"/>
    <x v="1"/>
    <d v="2025-09-09T00:00:00"/>
    <x v="2"/>
    <x v="6"/>
    <s v="AppleWatch  Health"/>
    <n v="15772"/>
    <n v="288"/>
    <n v="520"/>
    <n v="1585"/>
    <n v="59182"/>
    <n v="194351"/>
    <n v="16060.002675571517"/>
    <n v="16580"/>
    <x v="1"/>
  </r>
  <r>
    <x v="25"/>
    <x v="3"/>
    <s v="2025-04-05"/>
    <x v="2"/>
    <x v="6"/>
    <s v="AppleWatch  Health"/>
    <n v="22384"/>
    <n v="601"/>
    <n v="943"/>
    <n v="515"/>
    <n v="41309"/>
    <n v="249373"/>
    <n v="22985.003781483963"/>
    <n v="23928"/>
    <x v="0"/>
  </r>
  <r>
    <x v="26"/>
    <x v="3"/>
    <s v="2024-09-17"/>
    <x v="1"/>
    <x v="7"/>
    <s v="iPhone16Launch  AppleEvent"/>
    <n v="20017"/>
    <n v="495"/>
    <n v="178"/>
    <n v="2683"/>
    <n v="32244"/>
    <n v="182633"/>
    <n v="20512.000974632185"/>
    <n v="20690"/>
    <x v="0"/>
  </r>
  <r>
    <x v="27"/>
    <x v="3"/>
    <s v="2025-03-04"/>
    <x v="1"/>
    <x v="4"/>
    <s v="ShotOniPhone"/>
    <n v="12344"/>
    <n v="815"/>
    <n v="298"/>
    <n v="2439"/>
    <n v="6259"/>
    <n v="237133"/>
    <n v="13159.001256678741"/>
    <n v="13457"/>
    <x v="3"/>
  </r>
  <r>
    <x v="28"/>
    <x v="1"/>
    <d v="2025-09-10T00:00:00"/>
    <x v="3"/>
    <x v="10"/>
    <s v="MacBookProM3"/>
    <n v="9266"/>
    <n v="999"/>
    <n v="928"/>
    <n v="2700"/>
    <n v="12264"/>
    <n v="128397"/>
    <n v="10265.007227583199"/>
    <n v="11193"/>
    <x v="1"/>
  </r>
  <r>
    <x v="29"/>
    <x v="1"/>
    <s v="2025-02-25"/>
    <x v="3"/>
    <x v="9"/>
    <s v="iPhonePhotography  ShotOniPhone"/>
    <n v="10702"/>
    <n v="621"/>
    <n v="445"/>
    <n v="2918"/>
    <n v="54808"/>
    <n v="220225"/>
    <n v="11323.002020660688"/>
    <n v="11768"/>
    <x v="0"/>
  </r>
  <r>
    <x v="30"/>
    <x v="2"/>
    <s v="2024-12-16"/>
    <x v="0"/>
    <x v="3"/>
    <s v="AppleEvent  iPadPro"/>
    <n v="2384"/>
    <n v="1246"/>
    <n v="160"/>
    <n v="2004"/>
    <n v="2701"/>
    <n v="73142"/>
    <n v="3630.0021875256352"/>
    <n v="3790"/>
    <x v="0"/>
  </r>
  <r>
    <x v="31"/>
    <x v="2"/>
    <s v="2024-07-31"/>
    <x v="0"/>
    <x v="8"/>
    <s v="AppleEvent  iPhone16"/>
    <n v="2404"/>
    <n v="774"/>
    <n v="661"/>
    <n v="662"/>
    <n v="12676"/>
    <n v="66916"/>
    <n v="3178.0098780560702"/>
    <n v="3839"/>
    <x v="0"/>
  </r>
  <r>
    <x v="32"/>
    <x v="1"/>
    <d v="2025-09-11T00:00:00"/>
    <x v="3"/>
    <x v="7"/>
    <s v="iPhone16Launch  AppleEvent"/>
    <n v="10175"/>
    <n v="342"/>
    <n v="825"/>
    <n v="2904"/>
    <n v="15954"/>
    <n v="104324"/>
    <n v="10517.007908055673"/>
    <n v="11342"/>
    <x v="1"/>
  </r>
  <r>
    <x v="33"/>
    <x v="3"/>
    <d v="2025-09-12T00:00:00"/>
    <x v="1"/>
    <x v="2"/>
    <s v="AppleDesign  Innovation"/>
    <n v="17158"/>
    <n v="1192"/>
    <n v="262"/>
    <n v="2016"/>
    <n v="28771"/>
    <n v="216037"/>
    <n v="18350.001212755222"/>
    <n v="18612"/>
    <x v="1"/>
  </r>
  <r>
    <x v="34"/>
    <x v="3"/>
    <s v="2024-11-30"/>
    <x v="2"/>
    <x v="8"/>
    <s v="AppleEvent  iPhone16"/>
    <n v="14763"/>
    <n v="864"/>
    <n v="336"/>
    <n v="1493"/>
    <n v="33310"/>
    <n v="165932"/>
    <n v="15627.002024925874"/>
    <n v="15963"/>
    <x v="3"/>
  </r>
  <r>
    <x v="35"/>
    <x v="2"/>
    <s v="2025-04-19"/>
    <x v="3"/>
    <x v="10"/>
    <s v="MacBookProM3"/>
    <n v="20384"/>
    <n v="344"/>
    <n v="956"/>
    <n v="655"/>
    <n v="67621"/>
    <n v="175720"/>
    <n v="20728.00544047348"/>
    <n v="21684"/>
    <x v="2"/>
  </r>
  <r>
    <x v="36"/>
    <x v="1"/>
    <s v="2025-01-06"/>
    <x v="0"/>
    <x v="2"/>
    <s v="AppleDesign  Innovation"/>
    <n v="11860"/>
    <n v="1448"/>
    <n v="893"/>
    <n v="490"/>
    <n v="23518"/>
    <n v="206205"/>
    <n v="13308.004330641837"/>
    <n v="14201"/>
    <x v="0"/>
  </r>
  <r>
    <x v="37"/>
    <x v="2"/>
    <s v="2025-02-17"/>
    <x v="1"/>
    <x v="1"/>
    <s v="MacBookAirM3  AppleInnovation"/>
    <n v="7989"/>
    <n v="1206"/>
    <n v="376"/>
    <n v="2769"/>
    <n v="27550"/>
    <n v="221749"/>
    <n v="9195.0016956108029"/>
    <n v="9571"/>
    <x v="2"/>
  </r>
  <r>
    <x v="38"/>
    <x v="2"/>
    <d v="2025-09-13T00:00:00"/>
    <x v="3"/>
    <x v="5"/>
    <s v="AppleMusic  AppleLifestyle"/>
    <n v="17106"/>
    <n v="702"/>
    <n v="459"/>
    <n v="999"/>
    <n v="59627"/>
    <n v="136059"/>
    <n v="17808.003373536481"/>
    <n v="18267"/>
    <x v="1"/>
  </r>
  <r>
    <x v="39"/>
    <x v="0"/>
    <d v="2025-09-14T00:00:00"/>
    <x v="3"/>
    <x v="6"/>
    <s v="AppleWatch  Health"/>
    <n v="19844"/>
    <n v="1020"/>
    <n v="247"/>
    <n v="2354"/>
    <n v="37792"/>
    <n v="138317"/>
    <n v="20864.001785753018"/>
    <n v="21111"/>
    <x v="1"/>
  </r>
  <r>
    <x v="40"/>
    <x v="0"/>
    <d v="2025-09-15T00:00:00"/>
    <x v="1"/>
    <x v="1"/>
    <s v="MacBookAirM3  AppleInnovation"/>
    <n v="5636"/>
    <n v="303"/>
    <n v="204"/>
    <n v="2480"/>
    <n v="7377"/>
    <n v="241207"/>
    <n v="5939.0008457465992"/>
    <n v="6143"/>
    <x v="1"/>
  </r>
  <r>
    <x v="41"/>
    <x v="0"/>
    <s v="2025-03-05"/>
    <x v="3"/>
    <x v="8"/>
    <s v="AppleEvent  iPhone16"/>
    <n v="12916"/>
    <n v="1262"/>
    <n v="772"/>
    <n v="856"/>
    <n v="11496"/>
    <n v="75046"/>
    <n v="14178.010287023959"/>
    <n v="14950"/>
    <x v="2"/>
  </r>
  <r>
    <x v="42"/>
    <x v="3"/>
    <d v="2025-09-16T00:00:00"/>
    <x v="1"/>
    <x v="10"/>
    <s v="MacBookProM3"/>
    <n v="6809"/>
    <n v="397"/>
    <n v="813"/>
    <n v="1125"/>
    <n v="12206"/>
    <n v="218136"/>
    <n v="7206.0037270326766"/>
    <n v="8019"/>
    <x v="1"/>
  </r>
  <r>
    <x v="43"/>
    <x v="1"/>
    <s v="2025-03-02"/>
    <x v="2"/>
    <x v="9"/>
    <s v="iPhonePhotography  ShotOniPhone"/>
    <n v="22562"/>
    <n v="778"/>
    <n v="907"/>
    <n v="1354"/>
    <n v="34475"/>
    <n v="141459"/>
    <n v="23340.006411751816"/>
    <n v="24247"/>
    <x v="3"/>
  </r>
  <r>
    <x v="44"/>
    <x v="1"/>
    <d v="2025-09-17T00:00:00"/>
    <x v="1"/>
    <x v="5"/>
    <s v="AppleMusic  AppleLifestyle"/>
    <n v="15456"/>
    <n v="590"/>
    <n v="555"/>
    <n v="2882"/>
    <n v="49816"/>
    <n v="240422"/>
    <n v="16046.002308440991"/>
    <n v="16601"/>
    <x v="1"/>
  </r>
  <r>
    <x v="45"/>
    <x v="1"/>
    <s v="2025-05-02"/>
    <x v="1"/>
    <x v="8"/>
    <s v="AppleEvent  iPhone16"/>
    <n v="17444"/>
    <n v="1402"/>
    <n v="218"/>
    <n v="725"/>
    <n v="8710"/>
    <n v="85893"/>
    <n v="18846.002538041517"/>
    <n v="19064"/>
    <x v="4"/>
  </r>
  <r>
    <x v="46"/>
    <x v="1"/>
    <s v="2025-02-24"/>
    <x v="1"/>
    <x v="7"/>
    <s v="iPhone16Launch  AppleEvent"/>
    <n v="24984"/>
    <n v="753"/>
    <n v="461"/>
    <n v="2710"/>
    <n v="20792"/>
    <n v="141520"/>
    <n v="25737.003257490109"/>
    <n v="26198"/>
    <x v="2"/>
  </r>
  <r>
    <x v="47"/>
    <x v="0"/>
    <s v="2025-03-11"/>
    <x v="3"/>
    <x v="0"/>
    <s v="AppleWatchUltra2  HealthTech"/>
    <n v="7997"/>
    <n v="1238"/>
    <n v="438"/>
    <n v="1874"/>
    <n v="36272"/>
    <n v="165818"/>
    <n v="9235.0026414502645"/>
    <n v="9673"/>
    <x v="4"/>
  </r>
  <r>
    <x v="48"/>
    <x v="3"/>
    <d v="2025-09-18T00:00:00"/>
    <x v="3"/>
    <x v="8"/>
    <s v="AppleEvent  iPhone16"/>
    <n v="4048"/>
    <n v="677"/>
    <n v="911"/>
    <n v="2429"/>
    <n v="27361"/>
    <n v="101272"/>
    <n v="4725.0089955762696"/>
    <n v="5636"/>
    <x v="1"/>
  </r>
  <r>
    <x v="49"/>
    <x v="3"/>
    <s v="2024-07-03"/>
    <x v="1"/>
    <x v="5"/>
    <s v="AppleMusic  AppleLifestyle"/>
    <n v="14338"/>
    <n v="1454"/>
    <n v="697"/>
    <n v="2703"/>
    <n v="21288"/>
    <n v="107649"/>
    <n v="15792.006474746629"/>
    <n v="16489"/>
    <x v="3"/>
  </r>
  <r>
    <x v="50"/>
    <x v="0"/>
    <s v="2024-06-13"/>
    <x v="3"/>
    <x v="6"/>
    <s v="AppleWatch  Health"/>
    <n v="23164"/>
    <n v="1122"/>
    <n v="900"/>
    <n v="888"/>
    <n v="36938"/>
    <n v="104674"/>
    <n v="24286.008598123699"/>
    <n v="25186"/>
    <x v="0"/>
  </r>
  <r>
    <x v="51"/>
    <x v="3"/>
    <d v="2025-09-19T00:00:00"/>
    <x v="0"/>
    <x v="6"/>
    <s v="AppleWatch  Health"/>
    <n v="19100"/>
    <n v="619"/>
    <n v="297"/>
    <n v="2312"/>
    <n v="9730"/>
    <n v="184832"/>
    <n v="19719.001606864611"/>
    <n v="20016"/>
    <x v="1"/>
  </r>
  <r>
    <x v="52"/>
    <x v="0"/>
    <s v="2025-02-24"/>
    <x v="0"/>
    <x v="8"/>
    <s v="AppleEvent  iPhone16"/>
    <n v="23949"/>
    <n v="356"/>
    <n v="616"/>
    <n v="1847"/>
    <n v="3144"/>
    <n v="192999"/>
    <n v="24305.00319172638"/>
    <n v="24921"/>
    <x v="3"/>
  </r>
  <r>
    <x v="53"/>
    <x v="1"/>
    <s v="2025-03-13"/>
    <x v="3"/>
    <x v="2"/>
    <s v="AppleDesign  Innovation"/>
    <n v="6544"/>
    <n v="749"/>
    <n v="888"/>
    <n v="594"/>
    <n v="18171"/>
    <n v="126475"/>
    <n v="7293.0070211504253"/>
    <n v="8181"/>
    <x v="2"/>
  </r>
  <r>
    <x v="54"/>
    <x v="0"/>
    <s v="2024-06-17"/>
    <x v="3"/>
    <x v="0"/>
    <s v="AppleWatchUltra2  HealthTech"/>
    <n v="6976"/>
    <n v="1320"/>
    <n v="393"/>
    <n v="2285"/>
    <n v="14049"/>
    <n v="101367"/>
    <n v="8296.0038770013907"/>
    <n v="8689"/>
    <x v="4"/>
  </r>
  <r>
    <x v="55"/>
    <x v="1"/>
    <s v="2024-12-18"/>
    <x v="1"/>
    <x v="7"/>
    <s v="iPhone16Launch  AppleEvent"/>
    <n v="14775"/>
    <n v="1220"/>
    <n v="640"/>
    <n v="1547"/>
    <n v="28527"/>
    <n v="183660"/>
    <n v="15995.00348469999"/>
    <n v="16635"/>
    <x v="4"/>
  </r>
  <r>
    <x v="56"/>
    <x v="1"/>
    <s v="2024-10-21"/>
    <x v="2"/>
    <x v="8"/>
    <s v="AppleEvent  iPhone16"/>
    <n v="12015"/>
    <n v="1196"/>
    <n v="998"/>
    <n v="1848"/>
    <n v="44739"/>
    <n v="161750"/>
    <n v="13211.006170015457"/>
    <n v="14209"/>
    <x v="4"/>
  </r>
  <r>
    <x v="57"/>
    <x v="2"/>
    <s v="2025-04-15"/>
    <x v="3"/>
    <x v="2"/>
    <s v="AppleDesign  Innovation"/>
    <n v="5419"/>
    <n v="1150"/>
    <n v="656"/>
    <n v="1990"/>
    <n v="410"/>
    <n v="158154"/>
    <n v="6569.0041478558869"/>
    <n v="7225"/>
    <x v="2"/>
  </r>
  <r>
    <x v="58"/>
    <x v="0"/>
    <s v="2024-06-22"/>
    <x v="0"/>
    <x v="6"/>
    <s v="AppleWatch  Health"/>
    <n v="16430"/>
    <n v="488"/>
    <n v="514"/>
    <n v="1436"/>
    <n v="30059"/>
    <n v="223305"/>
    <n v="16918.002301784556"/>
    <n v="17432"/>
    <x v="3"/>
  </r>
  <r>
    <x v="59"/>
    <x v="2"/>
    <s v="2025-01-28"/>
    <x v="1"/>
    <x v="6"/>
    <s v="AppleWatch  Health"/>
    <n v="9239"/>
    <n v="1477"/>
    <n v="631"/>
    <n v="1556"/>
    <n v="11580"/>
    <n v="84738"/>
    <n v="10716.007446482097"/>
    <n v="11347"/>
    <x v="2"/>
  </r>
  <r>
    <x v="60"/>
    <x v="0"/>
    <s v="2024-09-05"/>
    <x v="3"/>
    <x v="10"/>
    <s v="MacBookProM3"/>
    <n v="16489"/>
    <n v="395"/>
    <n v="350"/>
    <n v="2364"/>
    <n v="43239"/>
    <n v="73397"/>
    <n v="16884.004768587271"/>
    <n v="17234"/>
    <x v="4"/>
  </r>
  <r>
    <x v="61"/>
    <x v="0"/>
    <d v="2025-09-20T00:00:00"/>
    <x v="0"/>
    <x v="8"/>
    <s v="AppleEvent  iPhone16"/>
    <n v="18633"/>
    <n v="797"/>
    <n v="303"/>
    <n v="659"/>
    <n v="7"/>
    <n v="122189"/>
    <n v="19430.002479764953"/>
    <n v="19733"/>
    <x v="1"/>
  </r>
  <r>
    <x v="62"/>
    <x v="2"/>
    <s v="2024-07-31"/>
    <x v="0"/>
    <x v="0"/>
    <s v="AppleWatchUltra2  HealthTech"/>
    <n v="12357"/>
    <n v="716"/>
    <n v="599"/>
    <n v="999"/>
    <n v="89591"/>
    <n v="116367"/>
    <n v="13073.005147507454"/>
    <n v="13672"/>
    <x v="0"/>
  </r>
  <r>
    <x v="63"/>
    <x v="2"/>
    <s v="2024-08-17"/>
    <x v="2"/>
    <x v="4"/>
    <s v="ShotOniPhone"/>
    <n v="19154"/>
    <n v="1064"/>
    <n v="650"/>
    <n v="747"/>
    <n v="42667"/>
    <n v="242332"/>
    <n v="20218.002682270602"/>
    <n v="20868"/>
    <x v="2"/>
  </r>
  <r>
    <x v="64"/>
    <x v="0"/>
    <s v="2025-03-28"/>
    <x v="1"/>
    <x v="0"/>
    <s v="AppleWatchUltra2  HealthTech"/>
    <n v="6363"/>
    <n v="1341"/>
    <n v="222"/>
    <n v="2712"/>
    <n v="19987"/>
    <n v="160585"/>
    <n v="7704.0013824454336"/>
    <n v="7926"/>
    <x v="2"/>
  </r>
  <r>
    <x v="65"/>
    <x v="3"/>
    <s v="2024-07-26"/>
    <x v="1"/>
    <x v="6"/>
    <s v="AppleWatch  Health"/>
    <n v="12176"/>
    <n v="1005"/>
    <n v="862"/>
    <n v="974"/>
    <n v="2285"/>
    <n v="116619"/>
    <n v="13181.007391591422"/>
    <n v="14043"/>
    <x v="3"/>
  </r>
  <r>
    <x v="66"/>
    <x v="1"/>
    <s v="2025-03-29"/>
    <x v="2"/>
    <x v="6"/>
    <s v="AppleWatch  Health"/>
    <n v="19461"/>
    <n v="1382"/>
    <n v="445"/>
    <n v="1307"/>
    <n v="84691"/>
    <n v="151453"/>
    <n v="20843.002938205253"/>
    <n v="21288"/>
    <x v="3"/>
  </r>
  <r>
    <x v="67"/>
    <x v="2"/>
    <s v="2024-12-08"/>
    <x v="2"/>
    <x v="1"/>
    <s v="MacBookAirM3  AppleInnovation"/>
    <n v="10427"/>
    <n v="1014"/>
    <n v="166"/>
    <n v="1649"/>
    <n v="15145"/>
    <n v="59816"/>
    <n v="11441.00277517721"/>
    <n v="11607"/>
    <x v="2"/>
  </r>
  <r>
    <x v="68"/>
    <x v="1"/>
    <s v="2025-03-08"/>
    <x v="1"/>
    <x v="6"/>
    <s v="AppleWatch  Health"/>
    <n v="10580"/>
    <n v="427"/>
    <n v="790"/>
    <n v="2814"/>
    <n v="24916"/>
    <n v="213312"/>
    <n v="11007.003703495349"/>
    <n v="11797"/>
    <x v="4"/>
  </r>
  <r>
    <x v="69"/>
    <x v="3"/>
    <s v="2025-04-02"/>
    <x v="1"/>
    <x v="7"/>
    <s v="iPhone16Launch  AppleEvent"/>
    <n v="6858"/>
    <n v="415"/>
    <n v="366"/>
    <n v="2761"/>
    <n v="2988"/>
    <n v="177348"/>
    <n v="7273.002063739089"/>
    <n v="7639"/>
    <x v="0"/>
  </r>
  <r>
    <x v="70"/>
    <x v="3"/>
    <s v="2024-09-02"/>
    <x v="3"/>
    <x v="3"/>
    <s v="AppleEvent  iPadPro"/>
    <n v="12040"/>
    <n v="1147"/>
    <n v="210"/>
    <n v="885"/>
    <n v="30360"/>
    <n v="119530"/>
    <n v="13187.001756881118"/>
    <n v="13397"/>
    <x v="3"/>
  </r>
  <r>
    <x v="71"/>
    <x v="3"/>
    <s v="2025-03-03"/>
    <x v="3"/>
    <x v="8"/>
    <s v="AppleEvent  iPhone16"/>
    <n v="24928"/>
    <n v="214"/>
    <n v="765"/>
    <n v="1556"/>
    <n v="5239"/>
    <n v="194571"/>
    <n v="25142.003931726722"/>
    <n v="25907"/>
    <x v="4"/>
  </r>
  <r>
    <x v="72"/>
    <x v="2"/>
    <d v="2025-09-21T00:00:00"/>
    <x v="2"/>
    <x v="0"/>
    <s v="AppleWatchUltra2  HealthTech"/>
    <n v="23103"/>
    <n v="1380"/>
    <n v="191"/>
    <n v="1547"/>
    <n v="77798"/>
    <n v="148856"/>
    <n v="24483.001283119258"/>
    <n v="24674"/>
    <x v="1"/>
  </r>
  <r>
    <x v="73"/>
    <x v="3"/>
    <s v="2024-10-28"/>
    <x v="3"/>
    <x v="3"/>
    <s v="AppleEvent  iPadPro"/>
    <n v="21198"/>
    <n v="1484"/>
    <n v="174"/>
    <n v="1293"/>
    <n v="16330"/>
    <n v="111635"/>
    <n v="22682.001558650962"/>
    <n v="22856"/>
    <x v="3"/>
  </r>
  <r>
    <x v="74"/>
    <x v="2"/>
    <s v="2024-08-01"/>
    <x v="0"/>
    <x v="2"/>
    <s v="AppleDesign  Innovation"/>
    <n v="21758"/>
    <n v="1380"/>
    <n v="188"/>
    <n v="1735"/>
    <n v="20998"/>
    <n v="147803"/>
    <n v="23138.001271963356"/>
    <n v="23326"/>
    <x v="4"/>
  </r>
  <r>
    <x v="75"/>
    <x v="3"/>
    <s v="2024-11-07"/>
    <x v="3"/>
    <x v="4"/>
    <s v="ShotOniPhone"/>
    <n v="17254"/>
    <n v="246"/>
    <n v="952"/>
    <n v="871"/>
    <n v="14957"/>
    <n v="75946"/>
    <n v="17500.012535222395"/>
    <n v="18452"/>
    <x v="4"/>
  </r>
  <r>
    <x v="76"/>
    <x v="1"/>
    <s v="2025-03-04"/>
    <x v="3"/>
    <x v="7"/>
    <s v="iPhone16Launch  AppleEvent"/>
    <n v="13470"/>
    <n v="523"/>
    <n v="280"/>
    <n v="2682"/>
    <n v="8538"/>
    <n v="95204"/>
    <n v="13993.002941052897"/>
    <n v="14273"/>
    <x v="0"/>
  </r>
  <r>
    <x v="77"/>
    <x v="1"/>
    <s v="2024-06-17"/>
    <x v="0"/>
    <x v="5"/>
    <s v="AppleMusic  AppleLifestyle"/>
    <n v="3252"/>
    <n v="1043"/>
    <n v="647"/>
    <n v="1545"/>
    <n v="18859"/>
    <n v="222958"/>
    <n v="4295.0029018918358"/>
    <n v="4942"/>
    <x v="0"/>
  </r>
  <r>
    <x v="78"/>
    <x v="0"/>
    <d v="2025-09-22T00:00:00"/>
    <x v="2"/>
    <x v="11"/>
    <s v="Sustainability  AppleEarth"/>
    <n v="8996"/>
    <n v="329"/>
    <n v="378"/>
    <n v="2384"/>
    <n v="39404"/>
    <n v="242724"/>
    <n v="9325.0015573243691"/>
    <n v="9703"/>
    <x v="1"/>
  </r>
  <r>
    <x v="79"/>
    <x v="1"/>
    <s v="2024-06-13"/>
    <x v="0"/>
    <x v="0"/>
    <s v="AppleWatchUltra2  HealthTech"/>
    <n v="14173"/>
    <n v="294"/>
    <n v="257"/>
    <n v="1288"/>
    <n v="39466"/>
    <n v="55563"/>
    <n v="14467.004625380199"/>
    <n v="14724"/>
    <x v="4"/>
  </r>
  <r>
    <x v="80"/>
    <x v="0"/>
    <s v="2024-10-19"/>
    <x v="3"/>
    <x v="3"/>
    <s v="AppleEvent  iPadPro"/>
    <n v="6673"/>
    <n v="826"/>
    <n v="321"/>
    <n v="577"/>
    <n v="19262"/>
    <n v="132324"/>
    <n v="7499.0024258637886"/>
    <n v="7820"/>
    <x v="4"/>
  </r>
  <r>
    <x v="81"/>
    <x v="1"/>
    <s v="2024-07-24"/>
    <x v="2"/>
    <x v="5"/>
    <s v="AppleMusic  AppleLifestyle"/>
    <n v="22914"/>
    <n v="954"/>
    <n v="584"/>
    <n v="1519"/>
    <n v="13637"/>
    <n v="49847"/>
    <n v="23868.011715850502"/>
    <n v="24452"/>
    <x v="0"/>
  </r>
  <r>
    <x v="82"/>
    <x v="2"/>
    <s v="2024-10-15"/>
    <x v="3"/>
    <x v="4"/>
    <s v="ShotOniPhone"/>
    <n v="17781"/>
    <n v="993"/>
    <n v="627"/>
    <n v="2187"/>
    <n v="9609"/>
    <n v="66155"/>
    <n v="18774.009477741667"/>
    <n v="19401"/>
    <x v="3"/>
  </r>
  <r>
    <x v="83"/>
    <x v="1"/>
    <s v="2024-12-09"/>
    <x v="0"/>
    <x v="1"/>
    <s v="MacBookAirM3  AppleInnovation"/>
    <n v="15051"/>
    <n v="268"/>
    <n v="251"/>
    <n v="783"/>
    <n v="34154"/>
    <n v="119671"/>
    <n v="15319.002097417086"/>
    <n v="15570"/>
    <x v="3"/>
  </r>
  <r>
    <x v="84"/>
    <x v="0"/>
    <s v="2025-04-19"/>
    <x v="0"/>
    <x v="5"/>
    <s v="AppleMusic  AppleLifestyle"/>
    <n v="8881"/>
    <n v="210"/>
    <n v="673"/>
    <n v="1565"/>
    <n v="24847"/>
    <n v="156891"/>
    <n v="9091.0042896023351"/>
    <n v="9764"/>
    <x v="2"/>
  </r>
  <r>
    <x v="85"/>
    <x v="0"/>
    <s v="2025-01-27"/>
    <x v="3"/>
    <x v="7"/>
    <s v="iPhone16Launch  AppleEvent"/>
    <n v="8949"/>
    <n v="1477"/>
    <n v="424"/>
    <n v="1030"/>
    <n v="58052"/>
    <n v="123310"/>
    <n v="10426.003438488362"/>
    <n v="10850"/>
    <x v="0"/>
  </r>
  <r>
    <x v="86"/>
    <x v="3"/>
    <s v="2024-06-06"/>
    <x v="1"/>
    <x v="7"/>
    <s v="iPhone16Launch  AppleEvent"/>
    <n v="11521"/>
    <n v="1071"/>
    <n v="762"/>
    <n v="2539"/>
    <n v="12701"/>
    <n v="238350"/>
    <n v="12592.003196979233"/>
    <n v="13354"/>
    <x v="2"/>
  </r>
  <r>
    <x v="87"/>
    <x v="2"/>
    <s v="2024-07-07"/>
    <x v="1"/>
    <x v="1"/>
    <s v="MacBookAirM3  AppleInnovation"/>
    <n v="24625"/>
    <n v="749"/>
    <n v="193"/>
    <n v="1340"/>
    <n v="4890"/>
    <n v="189381"/>
    <n v="25374.001019109626"/>
    <n v="25567"/>
    <x v="0"/>
  </r>
  <r>
    <x v="88"/>
    <x v="1"/>
    <d v="2025-09-23T00:00:00"/>
    <x v="0"/>
    <x v="11"/>
    <s v="Sustainability  AppleEarth"/>
    <n v="10017"/>
    <n v="1357"/>
    <n v="966"/>
    <n v="2871"/>
    <n v="14800"/>
    <n v="171691"/>
    <n v="11374.005626386939"/>
    <n v="12340"/>
    <x v="1"/>
  </r>
  <r>
    <x v="89"/>
    <x v="3"/>
    <s v="2024-06-03"/>
    <x v="0"/>
    <x v="8"/>
    <s v="AppleEvent  iPhone16"/>
    <n v="8941"/>
    <n v="911"/>
    <n v="166"/>
    <n v="1217"/>
    <n v="68817"/>
    <n v="221180"/>
    <n v="9852.0007505199392"/>
    <n v="10018"/>
    <x v="4"/>
  </r>
  <r>
    <x v="90"/>
    <x v="1"/>
    <d v="2025-09-24T00:00:00"/>
    <x v="1"/>
    <x v="5"/>
    <s v="AppleMusic  AppleLifestyle"/>
    <n v="12209"/>
    <n v="222"/>
    <n v="479"/>
    <n v="2748"/>
    <n v="24615"/>
    <n v="74707"/>
    <n v="12431.0064117151"/>
    <n v="12910"/>
    <x v="1"/>
  </r>
  <r>
    <x v="91"/>
    <x v="1"/>
    <s v="2024-10-21"/>
    <x v="1"/>
    <x v="1"/>
    <s v="MacBookAirM3  AppleInnovation"/>
    <n v="19715"/>
    <n v="1014"/>
    <n v="718"/>
    <n v="1185"/>
    <n v="37625"/>
    <n v="191409"/>
    <n v="20729.003751129781"/>
    <n v="21447"/>
    <x v="0"/>
  </r>
  <r>
    <x v="92"/>
    <x v="3"/>
    <s v="2024-12-11"/>
    <x v="3"/>
    <x v="7"/>
    <s v="iPhone16Launch  AppleEvent"/>
    <n v="22645"/>
    <n v="545"/>
    <n v="972"/>
    <n v="321"/>
    <n v="8396"/>
    <n v="121537"/>
    <n v="23190.007997564528"/>
    <n v="24162"/>
    <x v="4"/>
  </r>
  <r>
    <x v="93"/>
    <x v="3"/>
    <s v="2024-11-07"/>
    <x v="3"/>
    <x v="7"/>
    <s v="iPhone16Launch  AppleEvent"/>
    <n v="11550"/>
    <n v="501"/>
    <n v="646"/>
    <n v="773"/>
    <n v="17841"/>
    <n v="237576"/>
    <n v="12051.002719129878"/>
    <n v="12697"/>
    <x v="3"/>
  </r>
  <r>
    <x v="94"/>
    <x v="3"/>
    <s v="2024-11-08"/>
    <x v="1"/>
    <x v="3"/>
    <s v="AppleEvent  iPadPro"/>
    <n v="23499"/>
    <n v="562"/>
    <n v="964"/>
    <n v="2557"/>
    <n v="56890"/>
    <n v="218686"/>
    <n v="24061.00440814684"/>
    <n v="25025"/>
    <x v="3"/>
  </r>
  <r>
    <x v="95"/>
    <x v="3"/>
    <s v="2024-09-10"/>
    <x v="3"/>
    <x v="6"/>
    <s v="AppleWatch  Health"/>
    <n v="6637"/>
    <n v="595"/>
    <n v="161"/>
    <n v="2653"/>
    <n v="19334"/>
    <n v="131155"/>
    <n v="7232.0012275551826"/>
    <n v="7393"/>
    <x v="2"/>
  </r>
  <r>
    <x v="96"/>
    <x v="3"/>
    <s v="2024-08-13"/>
    <x v="3"/>
    <x v="11"/>
    <s v="Sustainability  AppleEarth"/>
    <n v="6854"/>
    <n v="417"/>
    <n v="467"/>
    <n v="1003"/>
    <n v="61333"/>
    <n v="40281"/>
    <n v="7271.011593555274"/>
    <n v="7738"/>
    <x v="0"/>
  </r>
  <r>
    <x v="97"/>
    <x v="1"/>
    <s v="2024-06-10"/>
    <x v="2"/>
    <x v="5"/>
    <s v="AppleMusic  AppleLifestyle"/>
    <n v="21561"/>
    <n v="340"/>
    <n v="741"/>
    <n v="986"/>
    <n v="24826"/>
    <n v="198492"/>
    <n v="21901.003733147936"/>
    <n v="22642"/>
    <x v="0"/>
  </r>
  <r>
    <x v="98"/>
    <x v="3"/>
    <s v="2024-07-02"/>
    <x v="3"/>
    <x v="5"/>
    <s v="AppleMusic  AppleLifestyle"/>
    <n v="12320"/>
    <n v="1157"/>
    <n v="365"/>
    <n v="584"/>
    <n v="66634"/>
    <n v="210102"/>
    <n v="13477.00173725143"/>
    <n v="13842"/>
    <x v="3"/>
  </r>
  <r>
    <x v="99"/>
    <x v="2"/>
    <d v="2025-09-25T00:00:00"/>
    <x v="0"/>
    <x v="4"/>
    <s v="ShotOniPhone"/>
    <n v="20564"/>
    <n v="1433"/>
    <n v="488"/>
    <n v="1015"/>
    <n v="24333"/>
    <n v="172130"/>
    <n v="21997.00283506652"/>
    <n v="22485"/>
    <x v="1"/>
  </r>
  <r>
    <x v="100"/>
    <x v="0"/>
    <s v="2024-10-18"/>
    <x v="3"/>
    <x v="1"/>
    <s v="MacBookAirM3  AppleInnovation"/>
    <n v="6892"/>
    <n v="1184"/>
    <n v="925"/>
    <n v="1062"/>
    <n v="75008"/>
    <n v="116260"/>
    <n v="8076.0079563048339"/>
    <n v="9001"/>
    <x v="4"/>
  </r>
  <r>
    <x v="101"/>
    <x v="3"/>
    <d v="2025-09-26T00:00:00"/>
    <x v="3"/>
    <x v="4"/>
    <s v="ShotOniPhone"/>
    <n v="9043"/>
    <n v="1192"/>
    <n v="810"/>
    <n v="1550"/>
    <n v="5221"/>
    <n v="199476"/>
    <n v="10235.004060638874"/>
    <n v="11045"/>
    <x v="1"/>
  </r>
  <r>
    <x v="102"/>
    <x v="3"/>
    <d v="2025-09-27T00:00:00"/>
    <x v="1"/>
    <x v="1"/>
    <s v="MacBookAirM3  AppleInnovation"/>
    <n v="18521"/>
    <n v="1027"/>
    <n v="230"/>
    <n v="1247"/>
    <n v="39588"/>
    <n v="200928"/>
    <n v="19548.001144688646"/>
    <n v="19778"/>
    <x v="1"/>
  </r>
  <r>
    <x v="103"/>
    <x v="1"/>
    <s v="2025-03-23"/>
    <x v="0"/>
    <x v="2"/>
    <s v="AppleDesign  Innovation"/>
    <n v="24711"/>
    <n v="882"/>
    <n v="876"/>
    <n v="2728"/>
    <n v="32015"/>
    <n v="180272"/>
    <n v="25593.00485932369"/>
    <n v="26469"/>
    <x v="3"/>
  </r>
  <r>
    <x v="104"/>
    <x v="3"/>
    <s v="2024-06-14"/>
    <x v="3"/>
    <x v="7"/>
    <s v="iPhone16Launch  AppleEvent"/>
    <n v="21856"/>
    <n v="1203"/>
    <n v="634"/>
    <n v="2807"/>
    <n v="3647"/>
    <n v="104178"/>
    <n v="23059.00608573787"/>
    <n v="23693"/>
    <x v="3"/>
  </r>
  <r>
    <x v="105"/>
    <x v="3"/>
    <s v="2025-02-04"/>
    <x v="3"/>
    <x v="6"/>
    <s v="AppleWatch  Health"/>
    <n v="23833"/>
    <n v="555"/>
    <n v="523"/>
    <n v="1330"/>
    <n v="69141"/>
    <n v="73997"/>
    <n v="24388.007067854101"/>
    <n v="24911"/>
    <x v="3"/>
  </r>
  <r>
    <x v="106"/>
    <x v="3"/>
    <s v="2024-06-21"/>
    <x v="2"/>
    <x v="3"/>
    <s v="AppleEvent  iPadPro"/>
    <n v="21216"/>
    <n v="1207"/>
    <n v="859"/>
    <n v="328"/>
    <n v="91296"/>
    <n v="196683"/>
    <n v="22423.004367433892"/>
    <n v="23282"/>
    <x v="2"/>
  </r>
  <r>
    <x v="107"/>
    <x v="1"/>
    <d v="2025-09-28T00:00:00"/>
    <x v="3"/>
    <x v="6"/>
    <s v="AppleWatch  Health"/>
    <n v="21963"/>
    <n v="1356"/>
    <n v="349"/>
    <n v="1206"/>
    <n v="51755"/>
    <n v="159273"/>
    <n v="23319.002191206295"/>
    <n v="23668"/>
    <x v="1"/>
  </r>
  <r>
    <x v="108"/>
    <x v="3"/>
    <s v="2024-08-08"/>
    <x v="3"/>
    <x v="6"/>
    <s v="AppleWatch  Health"/>
    <n v="24355"/>
    <n v="1087"/>
    <n v="686"/>
    <n v="2426"/>
    <n v="24963"/>
    <n v="212307"/>
    <n v="25442.003231169958"/>
    <n v="26128"/>
    <x v="0"/>
  </r>
  <r>
    <x v="109"/>
    <x v="0"/>
    <s v="2024-07-29"/>
    <x v="2"/>
    <x v="6"/>
    <s v="AppleWatch  Health"/>
    <n v="6164"/>
    <n v="326"/>
    <n v="615"/>
    <n v="2806"/>
    <n v="38579"/>
    <n v="206129"/>
    <n v="6490.0029835685418"/>
    <n v="7105"/>
    <x v="4"/>
  </r>
  <r>
    <x v="110"/>
    <x v="1"/>
    <s v="2024-11-23"/>
    <x v="1"/>
    <x v="4"/>
    <s v="ShotOniPhone"/>
    <n v="9941"/>
    <n v="1329"/>
    <n v="238"/>
    <n v="869"/>
    <n v="40281"/>
    <n v="172311"/>
    <n v="11270.001381223485"/>
    <n v="11508"/>
    <x v="2"/>
  </r>
  <r>
    <x v="111"/>
    <x v="0"/>
    <s v="2024-10-05"/>
    <x v="3"/>
    <x v="1"/>
    <s v="MacBookAirM3  AppleInnovation"/>
    <n v="16388"/>
    <n v="1208"/>
    <n v="417"/>
    <n v="2306"/>
    <n v="16865"/>
    <n v="236733"/>
    <n v="17596.001761478121"/>
    <n v="18013"/>
    <x v="0"/>
  </r>
  <r>
    <x v="112"/>
    <x v="1"/>
    <d v="2025-09-29T00:00:00"/>
    <x v="2"/>
    <x v="9"/>
    <s v="iPhonePhotography  ShotOniPhone"/>
    <n v="7569"/>
    <n v="803"/>
    <n v="804"/>
    <n v="1753"/>
    <n v="43582"/>
    <n v="166945"/>
    <n v="8372.0048159573507"/>
    <n v="9176"/>
    <x v="1"/>
  </r>
  <r>
    <x v="113"/>
    <x v="3"/>
    <s v="2024-11-14"/>
    <x v="0"/>
    <x v="2"/>
    <s v="AppleDesign  Innovation"/>
    <n v="6300"/>
    <n v="1213"/>
    <n v="720"/>
    <n v="1037"/>
    <n v="39569"/>
    <n v="85272"/>
    <n v="7513.008443568815"/>
    <n v="8233"/>
    <x v="3"/>
  </r>
  <r>
    <x v="114"/>
    <x v="0"/>
    <d v="2025-09-30T00:00:00"/>
    <x v="1"/>
    <x v="0"/>
    <s v="AppleWatchUltra2  HealthTech"/>
    <n v="8269"/>
    <n v="250"/>
    <n v="638"/>
    <n v="815"/>
    <n v="41991"/>
    <n v="129393"/>
    <n v="8519.0049307149529"/>
    <n v="9157"/>
    <x v="1"/>
  </r>
  <r>
    <x v="115"/>
    <x v="1"/>
    <s v="2025-03-18"/>
    <x v="0"/>
    <x v="6"/>
    <s v="AppleWatch  Health"/>
    <n v="5818"/>
    <n v="1252"/>
    <n v="687"/>
    <n v="2300"/>
    <n v="25081"/>
    <n v="101212"/>
    <n v="7070.0067877326801"/>
    <n v="7757"/>
    <x v="4"/>
  </r>
  <r>
    <x v="116"/>
    <x v="2"/>
    <s v="2024-11-04"/>
    <x v="0"/>
    <x v="8"/>
    <s v="AppleEvent  iPhone16"/>
    <n v="14015"/>
    <n v="978"/>
    <n v="196"/>
    <n v="2744"/>
    <n v="20190"/>
    <n v="186470"/>
    <n v="14993.001051107416"/>
    <n v="15189"/>
    <x v="2"/>
  </r>
  <r>
    <x v="117"/>
    <x v="3"/>
    <s v="2024-11-04"/>
    <x v="2"/>
    <x v="4"/>
    <s v="ShotOniPhone"/>
    <n v="14234"/>
    <n v="1013"/>
    <n v="437"/>
    <n v="338"/>
    <n v="67754"/>
    <n v="160030"/>
    <n v="15247.002730737986"/>
    <n v="15684"/>
    <x v="2"/>
  </r>
  <r>
    <x v="118"/>
    <x v="1"/>
    <s v="2025-02-07"/>
    <x v="3"/>
    <x v="11"/>
    <s v="Sustainability  AppleEarth"/>
    <n v="20290"/>
    <n v="619"/>
    <n v="927"/>
    <n v="1186"/>
    <n v="8924"/>
    <n v="96503"/>
    <n v="20909.009605918985"/>
    <n v="21836"/>
    <x v="4"/>
  </r>
  <r>
    <x v="119"/>
    <x v="2"/>
    <s v="2024-10-21"/>
    <x v="2"/>
    <x v="3"/>
    <s v="AppleEvent  iPadPro"/>
    <n v="8254"/>
    <n v="1405"/>
    <n v="165"/>
    <n v="2504"/>
    <n v="8081"/>
    <n v="177710"/>
    <n v="9659.000928478983"/>
    <n v="9824"/>
    <x v="0"/>
  </r>
  <r>
    <x v="120"/>
    <x v="1"/>
    <s v="2024-07-29"/>
    <x v="2"/>
    <x v="0"/>
    <s v="AppleWatchUltra2  HealthTech"/>
    <n v="19144"/>
    <n v="1182"/>
    <n v="860"/>
    <n v="1398"/>
    <n v="4185"/>
    <n v="46570"/>
    <n v="20326.018466824135"/>
    <n v="21186"/>
    <x v="0"/>
  </r>
  <r>
    <x v="121"/>
    <x v="2"/>
    <s v="2024-10-02"/>
    <x v="2"/>
    <x v="9"/>
    <s v="iPhonePhotography  ShotOniPhone"/>
    <n v="9350"/>
    <n v="1024"/>
    <n v="550"/>
    <n v="2123"/>
    <n v="53916"/>
    <n v="108785"/>
    <n v="10374.005055844096"/>
    <n v="10924"/>
    <x v="2"/>
  </r>
  <r>
    <x v="122"/>
    <x v="3"/>
    <s v="2024-06-14"/>
    <x v="2"/>
    <x v="8"/>
    <s v="AppleEvent  iPhone16"/>
    <n v="17183"/>
    <n v="1224"/>
    <n v="943"/>
    <n v="2010"/>
    <n v="21481"/>
    <n v="49110"/>
    <n v="18407.019201791896"/>
    <n v="19350"/>
    <x v="2"/>
  </r>
  <r>
    <x v="123"/>
    <x v="0"/>
    <s v="2025-04-06"/>
    <x v="1"/>
    <x v="9"/>
    <s v="iPhonePhotography  ShotOniPhone"/>
    <n v="8238"/>
    <n v="766"/>
    <n v="235"/>
    <n v="1273"/>
    <n v="4706"/>
    <n v="119141"/>
    <n v="9004.0019724528083"/>
    <n v="9239"/>
    <x v="3"/>
  </r>
  <r>
    <x v="124"/>
    <x v="2"/>
    <s v="2024-09-08"/>
    <x v="3"/>
    <x v="0"/>
    <s v="AppleWatchUltra2  HealthTech"/>
    <n v="8090"/>
    <n v="570"/>
    <n v="399"/>
    <n v="1862"/>
    <n v="34088"/>
    <n v="52115"/>
    <n v="8660.0076561450642"/>
    <n v="9059"/>
    <x v="0"/>
  </r>
  <r>
    <x v="125"/>
    <x v="1"/>
    <s v="2025-03-28"/>
    <x v="0"/>
    <x v="6"/>
    <s v="AppleWatch  Health"/>
    <n v="13637"/>
    <n v="1135"/>
    <n v="540"/>
    <n v="1288"/>
    <n v="45183"/>
    <n v="79062"/>
    <n v="14772.006830082721"/>
    <n v="15312"/>
    <x v="4"/>
  </r>
  <r>
    <x v="126"/>
    <x v="3"/>
    <s v="2025-01-27"/>
    <x v="0"/>
    <x v="8"/>
    <s v="AppleEvent  iPhone16"/>
    <n v="24415"/>
    <n v="860"/>
    <n v="931"/>
    <n v="320"/>
    <n v="65049"/>
    <n v="62911"/>
    <n v="25275.014798683856"/>
    <n v="26206"/>
    <x v="0"/>
  </r>
  <r>
    <x v="127"/>
    <x v="2"/>
    <s v="2025-01-10"/>
    <x v="3"/>
    <x v="9"/>
    <s v="iPhonePhotography  ShotOniPhone"/>
    <n v="14647"/>
    <n v="1168"/>
    <n v="484"/>
    <n v="2650"/>
    <n v="27217"/>
    <n v="144061"/>
    <n v="15815.003359687909"/>
    <n v="16299"/>
    <x v="3"/>
  </r>
  <r>
    <x v="128"/>
    <x v="1"/>
    <s v="2024-07-21"/>
    <x v="0"/>
    <x v="3"/>
    <s v="AppleEvent  iPadPro"/>
    <n v="11911"/>
    <n v="1360"/>
    <n v="778"/>
    <n v="1168"/>
    <n v="16483"/>
    <n v="72556"/>
    <n v="13271.01072275208"/>
    <n v="14049"/>
    <x v="2"/>
  </r>
  <r>
    <x v="129"/>
    <x v="1"/>
    <s v="2024-09-29"/>
    <x v="3"/>
    <x v="1"/>
    <s v="MacBookAirM3  AppleInnovation"/>
    <n v="10472"/>
    <n v="401"/>
    <n v="668"/>
    <n v="383"/>
    <n v="37571"/>
    <n v="249203"/>
    <n v="10873.00268054558"/>
    <n v="11541"/>
    <x v="2"/>
  </r>
  <r>
    <x v="130"/>
    <x v="1"/>
    <s v="2024-10-21"/>
    <x v="0"/>
    <x v="7"/>
    <s v="iPhone16Launch  AppleEvent"/>
    <n v="20271"/>
    <n v="512"/>
    <n v="286"/>
    <n v="1982"/>
    <n v="43225"/>
    <n v="168335"/>
    <n v="20783.001698993081"/>
    <n v="21069"/>
    <x v="3"/>
  </r>
  <r>
    <x v="131"/>
    <x v="2"/>
    <s v="2025-03-04"/>
    <x v="2"/>
    <x v="1"/>
    <s v="MacBookAirM3  AppleInnovation"/>
    <n v="5266"/>
    <n v="316"/>
    <n v="837"/>
    <n v="2276"/>
    <n v="20967"/>
    <n v="41969"/>
    <n v="5582.0199432914769"/>
    <n v="6419"/>
    <x v="4"/>
  </r>
  <r>
    <x v="132"/>
    <x v="2"/>
    <s v="2025-02-06"/>
    <x v="0"/>
    <x v="0"/>
    <s v="AppleWatchUltra2  HealthTech"/>
    <n v="2666"/>
    <n v="1136"/>
    <n v="989"/>
    <n v="1710"/>
    <n v="36467"/>
    <n v="83753"/>
    <n v="3802.0118085322315"/>
    <n v="4791"/>
    <x v="2"/>
  </r>
  <r>
    <x v="133"/>
    <x v="2"/>
    <d v="2025-10-01T00:00:00"/>
    <x v="3"/>
    <x v="4"/>
    <s v="ShotOniPhone"/>
    <n v="6188"/>
    <n v="774"/>
    <n v="647"/>
    <n v="1830"/>
    <n v="55436"/>
    <n v="175542"/>
    <n v="6962.0036857276318"/>
    <n v="7609"/>
    <x v="1"/>
  </r>
  <r>
    <x v="134"/>
    <x v="0"/>
    <s v="2024-11-28"/>
    <x v="3"/>
    <x v="7"/>
    <s v="iPhone16Launch  AppleEvent"/>
    <n v="19055"/>
    <n v="443"/>
    <n v="976"/>
    <n v="869"/>
    <n v="75437"/>
    <n v="161863"/>
    <n v="19498.006029790624"/>
    <n v="20474"/>
    <x v="2"/>
  </r>
  <r>
    <x v="135"/>
    <x v="2"/>
    <d v="2025-10-02T00:00:00"/>
    <x v="3"/>
    <x v="2"/>
    <s v="AppleDesign  Innovation"/>
    <n v="12161"/>
    <n v="736"/>
    <n v="876"/>
    <n v="1233"/>
    <n v="21337"/>
    <n v="50225"/>
    <n v="12897.017441513191"/>
    <n v="13773"/>
    <x v="1"/>
  </r>
  <r>
    <x v="136"/>
    <x v="2"/>
    <s v="2024-07-31"/>
    <x v="3"/>
    <x v="3"/>
    <s v="AppleEvent  iPadPro"/>
    <n v="13314"/>
    <n v="274"/>
    <n v="626"/>
    <n v="2280"/>
    <n v="14639"/>
    <n v="163008"/>
    <n v="13588.003840302317"/>
    <n v="14214"/>
    <x v="3"/>
  </r>
  <r>
    <x v="137"/>
    <x v="2"/>
    <s v="2025-03-29"/>
    <x v="3"/>
    <x v="2"/>
    <s v="AppleDesign  Innovation"/>
    <n v="23508"/>
    <n v="585"/>
    <n v="743"/>
    <n v="2155"/>
    <n v="3704"/>
    <n v="194268"/>
    <n v="24093.003824613421"/>
    <n v="24836"/>
    <x v="3"/>
  </r>
  <r>
    <x v="138"/>
    <x v="0"/>
    <s v="2024-10-29"/>
    <x v="1"/>
    <x v="8"/>
    <s v="AppleEvent  iPhone16"/>
    <n v="23969"/>
    <n v="1433"/>
    <n v="372"/>
    <n v="1092"/>
    <n v="32147"/>
    <n v="145823"/>
    <n v="25402.002551037902"/>
    <n v="25774"/>
    <x v="2"/>
  </r>
  <r>
    <x v="139"/>
    <x v="2"/>
    <s v="2024-07-15"/>
    <x v="1"/>
    <x v="5"/>
    <s v="AppleMusic  AppleLifestyle"/>
    <n v="14891"/>
    <n v="674"/>
    <n v="521"/>
    <n v="1091"/>
    <n v="18101"/>
    <n v="53669"/>
    <n v="15565.009707652462"/>
    <n v="16086"/>
    <x v="0"/>
  </r>
  <r>
    <x v="140"/>
    <x v="1"/>
    <d v="2025-10-03T00:00:00"/>
    <x v="0"/>
    <x v="7"/>
    <s v="iPhone16Launch  AppleEvent"/>
    <n v="6777"/>
    <n v="617"/>
    <n v="551"/>
    <n v="2109"/>
    <n v="18559"/>
    <n v="208452"/>
    <n v="7394.0026432943796"/>
    <n v="7945"/>
    <x v="1"/>
  </r>
  <r>
    <x v="141"/>
    <x v="2"/>
    <s v="2025-03-25"/>
    <x v="3"/>
    <x v="2"/>
    <s v="AppleDesign  Innovation"/>
    <n v="5900"/>
    <n v="546"/>
    <n v="592"/>
    <n v="1594"/>
    <n v="38627"/>
    <n v="164398"/>
    <n v="6446.0036010170443"/>
    <n v="7038"/>
    <x v="4"/>
  </r>
  <r>
    <x v="142"/>
    <x v="1"/>
    <s v="2024-10-02"/>
    <x v="0"/>
    <x v="2"/>
    <s v="AppleDesign  Innovation"/>
    <n v="15716"/>
    <n v="839"/>
    <n v="639"/>
    <n v="2839"/>
    <n v="349"/>
    <n v="150677"/>
    <n v="16555.004240859587"/>
    <n v="17194"/>
    <x v="2"/>
  </r>
  <r>
    <x v="143"/>
    <x v="1"/>
    <s v="2024-10-28"/>
    <x v="3"/>
    <x v="9"/>
    <s v="iPhonePhotography  ShotOniPhone"/>
    <n v="8981"/>
    <n v="1138"/>
    <n v="764"/>
    <n v="2555"/>
    <n v="92810"/>
    <n v="88320"/>
    <n v="10119.008650362319"/>
    <n v="10883"/>
    <x v="4"/>
  </r>
  <r>
    <x v="144"/>
    <x v="1"/>
    <s v="2024-08-12"/>
    <x v="3"/>
    <x v="1"/>
    <s v="MacBookAirM3  AppleInnovation"/>
    <n v="8376"/>
    <n v="1154"/>
    <n v="422"/>
    <n v="1907"/>
    <n v="36874"/>
    <n v="218486"/>
    <n v="9530.0019314738711"/>
    <n v="9952"/>
    <x v="2"/>
  </r>
  <r>
    <x v="145"/>
    <x v="0"/>
    <s v="2024-06-05"/>
    <x v="1"/>
    <x v="9"/>
    <s v="iPhonePhotography  ShotOniPhone"/>
    <n v="18907"/>
    <n v="1075"/>
    <n v="675"/>
    <n v="1383"/>
    <n v="17875"/>
    <n v="186649"/>
    <n v="19982.003616413695"/>
    <n v="20657"/>
    <x v="0"/>
  </r>
  <r>
    <x v="146"/>
    <x v="0"/>
    <s v="2024-10-21"/>
    <x v="1"/>
    <x v="7"/>
    <s v="iPhone16Launch  AppleEvent"/>
    <n v="20777"/>
    <n v="962"/>
    <n v="308"/>
    <n v="2777"/>
    <n v="25529"/>
    <n v="165354"/>
    <n v="21739.001862670393"/>
    <n v="22047"/>
    <x v="0"/>
  </r>
  <r>
    <x v="147"/>
    <x v="0"/>
    <s v="2025-04-15"/>
    <x v="2"/>
    <x v="7"/>
    <s v="iPhone16Launch  AppleEvent"/>
    <n v="20977"/>
    <n v="1402"/>
    <n v="301"/>
    <n v="1284"/>
    <n v="24620"/>
    <n v="128009"/>
    <n v="22379.002351397168"/>
    <n v="22680"/>
    <x v="0"/>
  </r>
  <r>
    <x v="148"/>
    <x v="2"/>
    <s v="2024-06-16"/>
    <x v="1"/>
    <x v="0"/>
    <s v="AppleWatchUltra2  HealthTech"/>
    <n v="12160"/>
    <n v="1405"/>
    <n v="769"/>
    <n v="1980"/>
    <n v="33174"/>
    <n v="226481"/>
    <n v="13565.003395428314"/>
    <n v="14334"/>
    <x v="0"/>
  </r>
  <r>
    <x v="149"/>
    <x v="1"/>
    <s v="2024-08-22"/>
    <x v="2"/>
    <x v="9"/>
    <s v="iPhonePhotography  ShotOniPhone"/>
    <n v="16124"/>
    <n v="863"/>
    <n v="337"/>
    <n v="819"/>
    <n v="85788"/>
    <n v="68625"/>
    <n v="16987.004910746811"/>
    <n v="17324"/>
    <x v="3"/>
  </r>
  <r>
    <x v="150"/>
    <x v="0"/>
    <s v="2024-07-26"/>
    <x v="2"/>
    <x v="10"/>
    <s v="MacBookProM3"/>
    <n v="18282"/>
    <n v="224"/>
    <n v="962"/>
    <n v="890"/>
    <n v="35105"/>
    <n v="64089"/>
    <n v="18506.015010376195"/>
    <n v="19468"/>
    <x v="3"/>
  </r>
  <r>
    <x v="151"/>
    <x v="0"/>
    <d v="2025-10-04T00:00:00"/>
    <x v="2"/>
    <x v="11"/>
    <s v="Sustainability  AppleEarth"/>
    <n v="12488"/>
    <n v="1403"/>
    <n v="247"/>
    <n v="1350"/>
    <n v="28370"/>
    <n v="76487"/>
    <n v="13891.003229306942"/>
    <n v="14138"/>
    <x v="1"/>
  </r>
  <r>
    <x v="152"/>
    <x v="2"/>
    <s v="2025-01-01"/>
    <x v="2"/>
    <x v="1"/>
    <s v="MacBookAirM3  AppleInnovation"/>
    <n v="24574"/>
    <n v="909"/>
    <n v="280"/>
    <n v="2009"/>
    <n v="6221"/>
    <n v="236910"/>
    <n v="25483.001181883417"/>
    <n v="25763"/>
    <x v="4"/>
  </r>
  <r>
    <x v="153"/>
    <x v="0"/>
    <s v="2024-10-09"/>
    <x v="2"/>
    <x v="7"/>
    <s v="iPhone16Launch  AppleEvent"/>
    <n v="7240"/>
    <n v="1384"/>
    <n v="954"/>
    <n v="2335"/>
    <n v="6757"/>
    <n v="150448"/>
    <n v="8624.0063410613639"/>
    <n v="9578"/>
    <x v="2"/>
  </r>
  <r>
    <x v="154"/>
    <x v="2"/>
    <s v="2024-12-21"/>
    <x v="0"/>
    <x v="0"/>
    <s v="AppleWatchUltra2  HealthTech"/>
    <n v="12453"/>
    <n v="376"/>
    <n v="320"/>
    <n v="2546"/>
    <n v="22617"/>
    <n v="90138"/>
    <n v="12829.003550112051"/>
    <n v="13149"/>
    <x v="2"/>
  </r>
  <r>
    <x v="155"/>
    <x v="3"/>
    <s v="2024-10-22"/>
    <x v="1"/>
    <x v="5"/>
    <s v="AppleMusic  AppleLifestyle"/>
    <n v="12478"/>
    <n v="484"/>
    <n v="332"/>
    <n v="2734"/>
    <n v="43338"/>
    <n v="213895"/>
    <n v="12962.001552163445"/>
    <n v="13294"/>
    <x v="3"/>
  </r>
  <r>
    <x v="156"/>
    <x v="0"/>
    <s v="2024-07-23"/>
    <x v="2"/>
    <x v="9"/>
    <s v="iPhonePhotography  ShotOniPhone"/>
    <n v="24877"/>
    <n v="262"/>
    <n v="513"/>
    <n v="648"/>
    <n v="47544"/>
    <n v="208280"/>
    <n v="25139.002463030534"/>
    <n v="25652"/>
    <x v="2"/>
  </r>
  <r>
    <x v="157"/>
    <x v="3"/>
    <s v="2024-08-11"/>
    <x v="3"/>
    <x v="1"/>
    <s v="MacBookAirM3  AppleInnovation"/>
    <n v="14394"/>
    <n v="1202"/>
    <n v="188"/>
    <n v="1259"/>
    <n v="21925"/>
    <n v="94061"/>
    <n v="15596.00199870297"/>
    <n v="15784"/>
    <x v="3"/>
  </r>
  <r>
    <x v="158"/>
    <x v="2"/>
    <d v="2025-10-05T00:00:00"/>
    <x v="1"/>
    <x v="5"/>
    <s v="AppleMusic  AppleLifestyle"/>
    <n v="21262"/>
    <n v="861"/>
    <n v="676"/>
    <n v="2263"/>
    <n v="12085"/>
    <n v="201731"/>
    <n v="22123.003350997122"/>
    <n v="22799"/>
    <x v="1"/>
  </r>
  <r>
    <x v="159"/>
    <x v="1"/>
    <s v="2024-08-24"/>
    <x v="1"/>
    <x v="9"/>
    <s v="iPhonePhotography  ShotOniPhone"/>
    <n v="22527"/>
    <n v="865"/>
    <n v="646"/>
    <n v="992"/>
    <n v="18654"/>
    <n v="141376"/>
    <n v="23392.004569375284"/>
    <n v="24038"/>
    <x v="4"/>
  </r>
  <r>
    <x v="160"/>
    <x v="0"/>
    <d v="2025-10-06T00:00:00"/>
    <x v="2"/>
    <x v="2"/>
    <s v="AppleDesign  Innovation"/>
    <n v="22028"/>
    <n v="355"/>
    <n v="665"/>
    <n v="1859"/>
    <n v="50565"/>
    <n v="202962"/>
    <n v="22383.0032764754"/>
    <n v="23048"/>
    <x v="1"/>
  </r>
  <r>
    <x v="161"/>
    <x v="2"/>
    <s v="2025-04-01"/>
    <x v="0"/>
    <x v="5"/>
    <s v="AppleMusic  AppleLifestyle"/>
    <n v="6432"/>
    <n v="1272"/>
    <n v="498"/>
    <n v="677"/>
    <n v="47305"/>
    <n v="119134"/>
    <n v="7704.0041801668713"/>
    <n v="8202"/>
    <x v="0"/>
  </r>
  <r>
    <x v="162"/>
    <x v="1"/>
    <s v="2025-04-08"/>
    <x v="2"/>
    <x v="0"/>
    <s v="AppleWatchUltra2  HealthTech"/>
    <n v="15568"/>
    <n v="1166"/>
    <n v="546"/>
    <n v="826"/>
    <n v="21836"/>
    <n v="87055"/>
    <n v="16734.006271897077"/>
    <n v="17280"/>
    <x v="0"/>
  </r>
  <r>
    <x v="163"/>
    <x v="1"/>
    <s v="2025-02-27"/>
    <x v="0"/>
    <x v="1"/>
    <s v="MacBookAirM3  AppleInnovation"/>
    <n v="16178"/>
    <n v="1048"/>
    <n v="871"/>
    <n v="2553"/>
    <n v="39025"/>
    <n v="59508"/>
    <n v="17226.014636687505"/>
    <n v="18097"/>
    <x v="0"/>
  </r>
  <r>
    <x v="164"/>
    <x v="3"/>
    <d v="2025-10-07T00:00:00"/>
    <x v="3"/>
    <x v="6"/>
    <s v="AppleWatch  Health"/>
    <n v="19660"/>
    <n v="1307"/>
    <n v="310"/>
    <n v="2802"/>
    <n v="22171"/>
    <n v="213359"/>
    <n v="20967.001452950193"/>
    <n v="21277"/>
    <x v="1"/>
  </r>
  <r>
    <x v="165"/>
    <x v="2"/>
    <s v="2025-02-16"/>
    <x v="1"/>
    <x v="8"/>
    <s v="AppleEvent  iPhone16"/>
    <n v="24195"/>
    <n v="888"/>
    <n v="165"/>
    <n v="1559"/>
    <n v="11596"/>
    <n v="249988"/>
    <n v="25083.000660031681"/>
    <n v="25248"/>
    <x v="2"/>
  </r>
  <r>
    <x v="166"/>
    <x v="1"/>
    <s v="2024-11-28"/>
    <x v="3"/>
    <x v="8"/>
    <s v="AppleEvent  iPhone16"/>
    <n v="2302"/>
    <n v="347"/>
    <n v="642"/>
    <n v="2175"/>
    <n v="56378"/>
    <n v="198056"/>
    <n v="2649.0032415074525"/>
    <n v="3291"/>
    <x v="4"/>
  </r>
  <r>
    <x v="167"/>
    <x v="0"/>
    <s v="2024-11-12"/>
    <x v="0"/>
    <x v="1"/>
    <s v="MacBookAirM3  AppleInnovation"/>
    <n v="19022"/>
    <n v="541"/>
    <n v="575"/>
    <n v="2063"/>
    <n v="42743"/>
    <n v="150169"/>
    <n v="19563.003829019304"/>
    <n v="20138"/>
    <x v="0"/>
  </r>
  <r>
    <x v="168"/>
    <x v="0"/>
    <s v="2024-12-03"/>
    <x v="0"/>
    <x v="5"/>
    <s v="AppleMusic  AppleLifestyle"/>
    <n v="2055"/>
    <n v="675"/>
    <n v="257"/>
    <n v="820"/>
    <n v="33534"/>
    <n v="48125"/>
    <n v="2730.0053402597405"/>
    <n v="2987"/>
    <x v="0"/>
  </r>
  <r>
    <x v="169"/>
    <x v="3"/>
    <s v="2025-04-28"/>
    <x v="3"/>
    <x v="9"/>
    <s v="iPhonePhotography  ShotOniPhone"/>
    <n v="15013"/>
    <n v="1286"/>
    <n v="599"/>
    <n v="2001"/>
    <n v="67839"/>
    <n v="76059"/>
    <n v="16299.0078754651"/>
    <n v="16898"/>
    <x v="0"/>
  </r>
  <r>
    <x v="170"/>
    <x v="1"/>
    <s v="2024-12-31"/>
    <x v="0"/>
    <x v="0"/>
    <s v="AppleWatchUltra2  HealthTech"/>
    <n v="10717"/>
    <n v="760"/>
    <n v="460"/>
    <n v="1316"/>
    <n v="18164"/>
    <n v="240641"/>
    <n v="11477.001911561205"/>
    <n v="11937"/>
    <x v="4"/>
  </r>
  <r>
    <x v="171"/>
    <x v="2"/>
    <s v="2024-08-14"/>
    <x v="3"/>
    <x v="11"/>
    <s v="Sustainability  AppleEarth"/>
    <n v="10150"/>
    <n v="526"/>
    <n v="888"/>
    <n v="1313"/>
    <n v="51605"/>
    <n v="143409"/>
    <n v="10676.006192079994"/>
    <n v="11564"/>
    <x v="0"/>
  </r>
  <r>
    <x v="172"/>
    <x v="0"/>
    <s v="2024-12-05"/>
    <x v="1"/>
    <x v="8"/>
    <s v="AppleEvent  iPhone16"/>
    <n v="4125"/>
    <n v="1364"/>
    <n v="319"/>
    <n v="2848"/>
    <n v="15379"/>
    <n v="188159"/>
    <n v="5489.0016953746563"/>
    <n v="5808"/>
    <x v="4"/>
  </r>
  <r>
    <x v="173"/>
    <x v="1"/>
    <s v="2024-06-22"/>
    <x v="3"/>
    <x v="0"/>
    <s v="AppleWatchUltra2  HealthTech"/>
    <n v="13479"/>
    <n v="1189"/>
    <n v="695"/>
    <n v="416"/>
    <n v="30229"/>
    <n v="45704"/>
    <n v="14668.015206546474"/>
    <n v="15363"/>
    <x v="0"/>
  </r>
  <r>
    <x v="174"/>
    <x v="1"/>
    <d v="2025-10-08T00:00:00"/>
    <x v="1"/>
    <x v="8"/>
    <s v="AppleEvent  iPhone16"/>
    <n v="17745"/>
    <n v="414"/>
    <n v="563"/>
    <n v="2733"/>
    <n v="995"/>
    <n v="231648"/>
    <n v="18159.00243041166"/>
    <n v="18722"/>
    <x v="1"/>
  </r>
  <r>
    <x v="175"/>
    <x v="3"/>
    <d v="2025-10-09T00:00:00"/>
    <x v="3"/>
    <x v="2"/>
    <s v="AppleDesign  Innovation"/>
    <n v="18748"/>
    <n v="634"/>
    <n v="400"/>
    <n v="1667"/>
    <n v="75813"/>
    <n v="244456"/>
    <n v="19382.001636286284"/>
    <n v="19782"/>
    <x v="1"/>
  </r>
  <r>
    <x v="176"/>
    <x v="0"/>
    <s v="2024-07-10"/>
    <x v="0"/>
    <x v="9"/>
    <s v="iPhonePhotography  ShotOniPhone"/>
    <n v="8809"/>
    <n v="1151"/>
    <n v="908"/>
    <n v="883"/>
    <n v="42921"/>
    <n v="151279"/>
    <n v="9960.006002154958"/>
    <n v="10868"/>
    <x v="4"/>
  </r>
  <r>
    <x v="177"/>
    <x v="0"/>
    <d v="2025-10-10T00:00:00"/>
    <x v="3"/>
    <x v="2"/>
    <s v="AppleDesign  Innovation"/>
    <n v="6621"/>
    <n v="922"/>
    <n v="930"/>
    <n v="694"/>
    <n v="839"/>
    <n v="243532"/>
    <n v="7543.0038187999935"/>
    <n v="8473"/>
    <x v="1"/>
  </r>
  <r>
    <x v="178"/>
    <x v="2"/>
    <s v="2024-07-15"/>
    <x v="0"/>
    <x v="8"/>
    <s v="AppleEvent  iPhone16"/>
    <n v="17034"/>
    <n v="231"/>
    <n v="290"/>
    <n v="1387"/>
    <n v="63550"/>
    <n v="198280"/>
    <n v="17265.001462578173"/>
    <n v="17555"/>
    <x v="4"/>
  </r>
  <r>
    <x v="179"/>
    <x v="0"/>
    <d v="2025-10-11T00:00:00"/>
    <x v="3"/>
    <x v="6"/>
    <s v="AppleWatch  Health"/>
    <n v="15623"/>
    <n v="869"/>
    <n v="423"/>
    <n v="371"/>
    <n v="47579"/>
    <n v="158516"/>
    <n v="16492.002668500339"/>
    <n v="16915"/>
    <x v="1"/>
  </r>
  <r>
    <x v="180"/>
    <x v="2"/>
    <d v="2025-10-12T00:00:00"/>
    <x v="3"/>
    <x v="6"/>
    <s v="AppleWatch  Health"/>
    <n v="7126"/>
    <n v="484"/>
    <n v="565"/>
    <n v="573"/>
    <n v="7389"/>
    <n v="237096"/>
    <n v="7610.0023830009786"/>
    <n v="8175"/>
    <x v="1"/>
  </r>
  <r>
    <x v="181"/>
    <x v="0"/>
    <s v="2024-07-31"/>
    <x v="2"/>
    <x v="2"/>
    <s v="AppleDesign  Innovation"/>
    <n v="7122"/>
    <n v="628"/>
    <n v="757"/>
    <n v="2313"/>
    <n v="50924"/>
    <n v="210954"/>
    <n v="7750.0035884600438"/>
    <n v="8507"/>
    <x v="4"/>
  </r>
  <r>
    <x v="182"/>
    <x v="3"/>
    <s v="2024-12-17"/>
    <x v="0"/>
    <x v="6"/>
    <s v="AppleWatch  Health"/>
    <n v="20030"/>
    <n v="485"/>
    <n v="888"/>
    <n v="1643"/>
    <n v="4322"/>
    <n v="196995"/>
    <n v="20515.004507728623"/>
    <n v="21403"/>
    <x v="2"/>
  </r>
  <r>
    <x v="183"/>
    <x v="0"/>
    <d v="2025-10-13T00:00:00"/>
    <x v="2"/>
    <x v="8"/>
    <s v="AppleEvent  iPhone16"/>
    <n v="19302"/>
    <n v="1367"/>
    <n v="188"/>
    <n v="637"/>
    <n v="31404"/>
    <n v="154044"/>
    <n v="20669.001220430528"/>
    <n v="20857"/>
    <x v="1"/>
  </r>
  <r>
    <x v="184"/>
    <x v="2"/>
    <s v="2025-01-11"/>
    <x v="0"/>
    <x v="1"/>
    <s v="MacBookAirM3  AppleInnovation"/>
    <n v="21181"/>
    <n v="1242"/>
    <n v="963"/>
    <n v="1689"/>
    <n v="49329"/>
    <n v="69165"/>
    <n v="22423.013923227067"/>
    <n v="23386"/>
    <x v="0"/>
  </r>
  <r>
    <x v="185"/>
    <x v="2"/>
    <s v="2024-08-24"/>
    <x v="2"/>
    <x v="2"/>
    <s v="AppleDesign  Innovation"/>
    <n v="24890"/>
    <n v="217"/>
    <n v="178"/>
    <n v="906"/>
    <n v="54826"/>
    <n v="107203"/>
    <n v="25107.001660401296"/>
    <n v="25285"/>
    <x v="2"/>
  </r>
  <r>
    <x v="186"/>
    <x v="3"/>
    <s v="2024-12-22"/>
    <x v="1"/>
    <x v="11"/>
    <s v="Sustainability  AppleEarth"/>
    <n v="7870"/>
    <n v="968"/>
    <n v="626"/>
    <n v="465"/>
    <n v="27184"/>
    <n v="44114"/>
    <n v="8838.0141905064156"/>
    <n v="9464"/>
    <x v="4"/>
  </r>
  <r>
    <x v="187"/>
    <x v="0"/>
    <s v="2024-06-06"/>
    <x v="3"/>
    <x v="11"/>
    <s v="Sustainability  AppleEarth"/>
    <n v="3531"/>
    <n v="789"/>
    <n v="467"/>
    <n v="1867"/>
    <n v="40816"/>
    <n v="236037"/>
    <n v="4320.0019785033701"/>
    <n v="4787"/>
    <x v="2"/>
  </r>
  <r>
    <x v="188"/>
    <x v="0"/>
    <s v="2025-03-24"/>
    <x v="0"/>
    <x v="4"/>
    <s v="ShotOniPhone"/>
    <n v="10172"/>
    <n v="1398"/>
    <n v="394"/>
    <n v="2358"/>
    <n v="59610"/>
    <n v="76321"/>
    <n v="11570.005162406153"/>
    <n v="11964"/>
    <x v="3"/>
  </r>
  <r>
    <x v="189"/>
    <x v="3"/>
    <s v="2024-10-04"/>
    <x v="0"/>
    <x v="5"/>
    <s v="AppleMusic  AppleLifestyle"/>
    <n v="21729"/>
    <n v="1209"/>
    <n v="897"/>
    <n v="1624"/>
    <n v="38771"/>
    <n v="113297"/>
    <n v="22938.007917244056"/>
    <n v="23835"/>
    <x v="3"/>
  </r>
  <r>
    <x v="190"/>
    <x v="0"/>
    <d v="2025-10-14T00:00:00"/>
    <x v="3"/>
    <x v="9"/>
    <s v="iPhonePhotography  ShotOniPhone"/>
    <n v="9673"/>
    <n v="393"/>
    <n v="846"/>
    <n v="1028"/>
    <n v="55556"/>
    <n v="136652"/>
    <n v="10066.006190908292"/>
    <n v="10912"/>
    <x v="1"/>
  </r>
  <r>
    <x v="191"/>
    <x v="0"/>
    <d v="2025-10-15T00:00:00"/>
    <x v="0"/>
    <x v="6"/>
    <s v="AppleWatch  Health"/>
    <n v="8882"/>
    <n v="701"/>
    <n v="421"/>
    <n v="2343"/>
    <n v="13588"/>
    <n v="139304"/>
    <n v="9583.003022167346"/>
    <n v="10004"/>
    <x v="1"/>
  </r>
  <r>
    <x v="192"/>
    <x v="2"/>
    <s v="2024-09-11"/>
    <x v="0"/>
    <x v="6"/>
    <s v="AppleWatch  Health"/>
    <n v="3906"/>
    <n v="1187"/>
    <n v="589"/>
    <n v="401"/>
    <n v="52687"/>
    <n v="196498"/>
    <n v="5093.0029974859799"/>
    <n v="5682"/>
    <x v="0"/>
  </r>
  <r>
    <x v="193"/>
    <x v="0"/>
    <s v="2024-10-02"/>
    <x v="2"/>
    <x v="5"/>
    <s v="AppleMusic  AppleLifestyle"/>
    <n v="5086"/>
    <n v="1336"/>
    <n v="897"/>
    <n v="1715"/>
    <n v="60592"/>
    <n v="57772"/>
    <n v="6422.0155265526555"/>
    <n v="7319"/>
    <x v="2"/>
  </r>
  <r>
    <x v="194"/>
    <x v="0"/>
    <s v="2024-08-15"/>
    <x v="0"/>
    <x v="7"/>
    <s v="iPhone16Launch  AppleEvent"/>
    <n v="15503"/>
    <n v="313"/>
    <n v="388"/>
    <n v="1078"/>
    <n v="11500"/>
    <n v="143754"/>
    <n v="15816.002699055331"/>
    <n v="16204"/>
    <x v="3"/>
  </r>
  <r>
    <x v="195"/>
    <x v="3"/>
    <d v="2025-09-18T00:00:00"/>
    <x v="1"/>
    <x v="10"/>
    <s v="MacBookProM3"/>
    <n v="10152"/>
    <n v="1445"/>
    <n v="526"/>
    <n v="513"/>
    <n v="18959"/>
    <n v="43712"/>
    <n v="11597.012033308931"/>
    <n v="12123"/>
    <x v="1"/>
  </r>
  <r>
    <x v="196"/>
    <x v="3"/>
    <s v="2024-10-22"/>
    <x v="1"/>
    <x v="2"/>
    <s v="AppleDesign  Innovation"/>
    <n v="7750"/>
    <n v="1146"/>
    <n v="415"/>
    <n v="1411"/>
    <n v="85339"/>
    <n v="172439"/>
    <n v="8896.0024066481474"/>
    <n v="9311"/>
    <x v="2"/>
  </r>
  <r>
    <x v="197"/>
    <x v="1"/>
    <d v="2025-09-19T00:00:00"/>
    <x v="3"/>
    <x v="3"/>
    <s v="AppleEvent  iPadPro"/>
    <n v="14772"/>
    <n v="1030"/>
    <n v="508"/>
    <n v="1876"/>
    <n v="8882"/>
    <n v="155142"/>
    <n v="15802.003274419563"/>
    <n v="16310"/>
    <x v="1"/>
  </r>
  <r>
    <x v="198"/>
    <x v="2"/>
    <d v="2025-09-20T00:00:00"/>
    <x v="0"/>
    <x v="6"/>
    <s v="AppleWatch  Health"/>
    <n v="12267"/>
    <n v="1487"/>
    <n v="489"/>
    <n v="2748"/>
    <n v="34685"/>
    <n v="131736"/>
    <n v="13754.003711969393"/>
    <n v="14243"/>
    <x v="1"/>
  </r>
  <r>
    <x v="199"/>
    <x v="0"/>
    <s v="2025-04-07"/>
    <x v="3"/>
    <x v="9"/>
    <s v="iPhonePhotography  ShotOniPhone"/>
    <n v="3062"/>
    <n v="1124"/>
    <n v="538"/>
    <n v="2935"/>
    <n v="69749"/>
    <n v="91924"/>
    <n v="4186.0058526608937"/>
    <n v="4724"/>
    <x v="3"/>
  </r>
  <r>
    <x v="200"/>
    <x v="0"/>
    <s v="2025-01-15"/>
    <x v="1"/>
    <x v="4"/>
    <s v="ShotOniPhone"/>
    <n v="20360"/>
    <n v="254"/>
    <n v="726"/>
    <n v="1995"/>
    <n v="14280"/>
    <n v="43726"/>
    <n v="20614.016603393862"/>
    <n v="21340"/>
    <x v="3"/>
  </r>
  <r>
    <x v="201"/>
    <x v="1"/>
    <d v="2025-09-21T00:00:00"/>
    <x v="0"/>
    <x v="11"/>
    <s v="Sustainability  AppleEarth"/>
    <n v="19680"/>
    <n v="999"/>
    <n v="838"/>
    <n v="891"/>
    <n v="29576"/>
    <n v="129152"/>
    <n v="20679.006488478692"/>
    <n v="21517"/>
    <x v="1"/>
  </r>
  <r>
    <x v="202"/>
    <x v="0"/>
    <s v="2024-11-21"/>
    <x v="0"/>
    <x v="6"/>
    <s v="AppleWatch  Health"/>
    <n v="8229"/>
    <n v="977"/>
    <n v="152"/>
    <n v="1633"/>
    <n v="71447"/>
    <n v="67723"/>
    <n v="9206.0022444368969"/>
    <n v="9358"/>
    <x v="4"/>
  </r>
  <r>
    <x v="203"/>
    <x v="2"/>
    <d v="2025-09-22T00:00:00"/>
    <x v="3"/>
    <x v="4"/>
    <s v="ShotOniPhone"/>
    <n v="18509"/>
    <n v="361"/>
    <n v="578"/>
    <n v="1409"/>
    <n v="10569"/>
    <n v="166969"/>
    <n v="18870.00346172044"/>
    <n v="19448"/>
    <x v="1"/>
  </r>
  <r>
    <x v="204"/>
    <x v="1"/>
    <d v="2025-09-23T00:00:00"/>
    <x v="1"/>
    <x v="8"/>
    <s v="AppleEvent  iPhone16"/>
    <n v="17147"/>
    <n v="286"/>
    <n v="291"/>
    <n v="2439"/>
    <n v="45631"/>
    <n v="140494"/>
    <n v="17433.002071262828"/>
    <n v="17724"/>
    <x v="1"/>
  </r>
  <r>
    <x v="205"/>
    <x v="2"/>
    <s v="2024-06-24"/>
    <x v="0"/>
    <x v="8"/>
    <s v="AppleEvent  iPhone16"/>
    <n v="6632"/>
    <n v="254"/>
    <n v="525"/>
    <n v="1013"/>
    <n v="13838"/>
    <n v="180180"/>
    <n v="6886.0029137529136"/>
    <n v="7411"/>
    <x v="0"/>
  </r>
  <r>
    <x v="206"/>
    <x v="1"/>
    <s v="2024-12-29"/>
    <x v="3"/>
    <x v="10"/>
    <s v="MacBookProM3"/>
    <n v="8288"/>
    <n v="1401"/>
    <n v="819"/>
    <n v="1235"/>
    <n v="33446"/>
    <n v="248786"/>
    <n v="9689.0032919858841"/>
    <n v="10508"/>
    <x v="0"/>
  </r>
  <r>
    <x v="207"/>
    <x v="1"/>
    <s v="2024-06-24"/>
    <x v="1"/>
    <x v="1"/>
    <s v="MacBookAirM3  AppleInnovation"/>
    <n v="5596"/>
    <n v="1231"/>
    <n v="473"/>
    <n v="2251"/>
    <n v="43705"/>
    <n v="75643"/>
    <n v="6827.006253057124"/>
    <n v="7300"/>
    <x v="0"/>
  </r>
  <r>
    <x v="208"/>
    <x v="3"/>
    <s v="2025-03-19"/>
    <x v="3"/>
    <x v="3"/>
    <s v="AppleEvent  iPadPro"/>
    <n v="13475"/>
    <n v="1032"/>
    <n v="295"/>
    <n v="541"/>
    <n v="43666"/>
    <n v="202396"/>
    <n v="14507.001457538687"/>
    <n v="14802"/>
    <x v="4"/>
  </r>
  <r>
    <x v="209"/>
    <x v="2"/>
    <s v="2025-02-19"/>
    <x v="2"/>
    <x v="7"/>
    <s v="iPhone16Launch  AppleEvent"/>
    <n v="8168"/>
    <n v="512"/>
    <n v="442"/>
    <n v="2343"/>
    <n v="2753"/>
    <n v="143896"/>
    <n v="8680.003071662868"/>
    <n v="9122"/>
    <x v="4"/>
  </r>
  <r>
    <x v="210"/>
    <x v="0"/>
    <d v="2025-09-24T00:00:00"/>
    <x v="0"/>
    <x v="10"/>
    <s v="MacBookProM3"/>
    <n v="11795"/>
    <n v="958"/>
    <n v="814"/>
    <n v="301"/>
    <n v="12564"/>
    <n v="179999"/>
    <n v="12753.004522247345"/>
    <n v="13567"/>
    <x v="1"/>
  </r>
  <r>
    <x v="211"/>
    <x v="0"/>
    <s v="2025-03-03"/>
    <x v="2"/>
    <x v="0"/>
    <s v="AppleWatchUltra2  HealthTech"/>
    <n v="9561"/>
    <n v="642"/>
    <n v="581"/>
    <n v="2572"/>
    <n v="38552"/>
    <n v="133680"/>
    <n v="10203.004346199881"/>
    <n v="10784"/>
    <x v="0"/>
  </r>
  <r>
    <x v="212"/>
    <x v="2"/>
    <s v="2025-05-01"/>
    <x v="1"/>
    <x v="7"/>
    <s v="iPhone16Launch  AppleEvent"/>
    <n v="10258"/>
    <n v="527"/>
    <n v="854"/>
    <n v="2068"/>
    <n v="45632"/>
    <n v="136546"/>
    <n v="10785.00625430258"/>
    <n v="11639"/>
    <x v="4"/>
  </r>
  <r>
    <x v="213"/>
    <x v="0"/>
    <s v="2024-12-23"/>
    <x v="2"/>
    <x v="2"/>
    <s v="AppleDesign  Innovation"/>
    <n v="18616"/>
    <n v="1277"/>
    <n v="734"/>
    <n v="2249"/>
    <n v="3399"/>
    <n v="193515"/>
    <n v="19893.003792987623"/>
    <n v="20627"/>
    <x v="3"/>
  </r>
  <r>
    <x v="214"/>
    <x v="0"/>
    <d v="2025-09-25T00:00:00"/>
    <x v="2"/>
    <x v="9"/>
    <s v="iPhonePhotography  ShotOniPhone"/>
    <n v="8371"/>
    <n v="960"/>
    <n v="548"/>
    <n v="2936"/>
    <n v="82543"/>
    <n v="119973"/>
    <n v="9331.0045676943973"/>
    <n v="9879"/>
    <x v="1"/>
  </r>
  <r>
    <x v="215"/>
    <x v="2"/>
    <s v="2024-07-29"/>
    <x v="1"/>
    <x v="0"/>
    <s v="AppleWatchUltra2  HealthTech"/>
    <n v="22590"/>
    <n v="1462"/>
    <n v="966"/>
    <n v="2463"/>
    <n v="29689"/>
    <n v="103449"/>
    <n v="24052.009337934633"/>
    <n v="25018"/>
    <x v="2"/>
  </r>
  <r>
    <x v="216"/>
    <x v="1"/>
    <d v="2025-09-26T00:00:00"/>
    <x v="3"/>
    <x v="0"/>
    <s v="AppleWatchUltra2  HealthTech"/>
    <n v="16369"/>
    <n v="1452"/>
    <n v="493"/>
    <n v="1217"/>
    <n v="91440"/>
    <n v="149834"/>
    <n v="17821.003290307941"/>
    <n v="18314"/>
    <x v="1"/>
  </r>
  <r>
    <x v="217"/>
    <x v="2"/>
    <s v="2024-06-11"/>
    <x v="2"/>
    <x v="10"/>
    <s v="MacBookProM3"/>
    <n v="14910"/>
    <n v="778"/>
    <n v="289"/>
    <n v="2541"/>
    <n v="14309"/>
    <n v="247815"/>
    <n v="15688.001166192522"/>
    <n v="15977"/>
    <x v="2"/>
  </r>
  <r>
    <x v="218"/>
    <x v="1"/>
    <s v="2025-01-28"/>
    <x v="3"/>
    <x v="5"/>
    <s v="AppleMusic  AppleLifestyle"/>
    <n v="9943"/>
    <n v="1274"/>
    <n v="336"/>
    <n v="389"/>
    <n v="6145"/>
    <n v="231305"/>
    <n v="11217.001452627483"/>
    <n v="11553"/>
    <x v="0"/>
  </r>
  <r>
    <x v="219"/>
    <x v="0"/>
    <s v="2024-06-02"/>
    <x v="2"/>
    <x v="1"/>
    <s v="MacBookAirM3  AppleInnovation"/>
    <n v="14199"/>
    <n v="1206"/>
    <n v="954"/>
    <n v="2009"/>
    <n v="8"/>
    <n v="65537"/>
    <n v="15405.014556662649"/>
    <n v="16359"/>
    <x v="2"/>
  </r>
  <r>
    <x v="220"/>
    <x v="0"/>
    <s v="2025-03-23"/>
    <x v="3"/>
    <x v="5"/>
    <s v="AppleMusic  AppleLifestyle"/>
    <n v="17728"/>
    <n v="1487"/>
    <n v="210"/>
    <n v="2469"/>
    <n v="30565"/>
    <n v="117576"/>
    <n v="19215.001786078792"/>
    <n v="19425"/>
    <x v="0"/>
  </r>
  <r>
    <x v="221"/>
    <x v="0"/>
    <s v="2024-10-08"/>
    <x v="1"/>
    <x v="10"/>
    <s v="MacBookProM3"/>
    <n v="8738"/>
    <n v="295"/>
    <n v="529"/>
    <n v="442"/>
    <n v="25286"/>
    <n v="147522"/>
    <n v="9033.0035859058316"/>
    <n v="9562"/>
    <x v="3"/>
  </r>
  <r>
    <x v="222"/>
    <x v="3"/>
    <s v="2024-11-12"/>
    <x v="2"/>
    <x v="2"/>
    <s v="AppleDesign  Innovation"/>
    <n v="17913"/>
    <n v="1311"/>
    <n v="859"/>
    <n v="405"/>
    <n v="59842"/>
    <n v="62612"/>
    <n v="19224.013719414808"/>
    <n v="20083"/>
    <x v="2"/>
  </r>
  <r>
    <x v="223"/>
    <x v="1"/>
    <d v="2025-09-07T00:00:00"/>
    <x v="1"/>
    <x v="11"/>
    <s v="Sustainability  AppleEarth"/>
    <n v="4472"/>
    <n v="1301"/>
    <n v="956"/>
    <n v="1186"/>
    <n v="3363"/>
    <n v="46471"/>
    <n v="5773.020571969615"/>
    <n v="6729"/>
    <x v="1"/>
  </r>
  <r>
    <x v="224"/>
    <x v="3"/>
    <s v="2024-06-20"/>
    <x v="2"/>
    <x v="6"/>
    <s v="AppleWatch  Health"/>
    <n v="21123"/>
    <n v="1343"/>
    <n v="589"/>
    <n v="727"/>
    <n v="87833"/>
    <n v="206703"/>
    <n v="22466.00284949904"/>
    <n v="23055"/>
    <x v="0"/>
  </r>
  <r>
    <x v="225"/>
    <x v="3"/>
    <d v="2025-09-08T00:00:00"/>
    <x v="1"/>
    <x v="6"/>
    <s v="AppleWatch  Health"/>
    <n v="23785"/>
    <n v="1013"/>
    <n v="468"/>
    <n v="1628"/>
    <n v="8272"/>
    <n v="71348"/>
    <n v="24798.006559399004"/>
    <n v="25266"/>
    <x v="1"/>
  </r>
  <r>
    <x v="226"/>
    <x v="2"/>
    <s v="2024-06-12"/>
    <x v="1"/>
    <x v="1"/>
    <s v="MacBookAirM3  AppleInnovation"/>
    <n v="17679"/>
    <n v="690"/>
    <n v="451"/>
    <n v="2195"/>
    <n v="4390"/>
    <n v="235804"/>
    <n v="18369.001912605385"/>
    <n v="18820"/>
    <x v="4"/>
  </r>
  <r>
    <x v="227"/>
    <x v="3"/>
    <s v="2024-07-01"/>
    <x v="2"/>
    <x v="2"/>
    <s v="AppleDesign  Innovation"/>
    <n v="3761"/>
    <n v="651"/>
    <n v="493"/>
    <n v="2294"/>
    <n v="71696"/>
    <n v="41177"/>
    <n v="4412.0119727032079"/>
    <n v="4905"/>
    <x v="0"/>
  </r>
  <r>
    <x v="228"/>
    <x v="2"/>
    <s v="2024-07-03"/>
    <x v="2"/>
    <x v="1"/>
    <s v="MacBookAirM3  AppleInnovation"/>
    <n v="12167"/>
    <n v="364"/>
    <n v="160"/>
    <n v="616"/>
    <n v="42228"/>
    <n v="175832"/>
    <n v="12531.000909959506"/>
    <n v="12691"/>
    <x v="2"/>
  </r>
  <r>
    <x v="229"/>
    <x v="2"/>
    <s v="2024-07-15"/>
    <x v="2"/>
    <x v="4"/>
    <s v="ShotOniPhone"/>
    <n v="12554"/>
    <n v="381"/>
    <n v="211"/>
    <n v="2286"/>
    <n v="50567"/>
    <n v="72779"/>
    <n v="12935.002899187952"/>
    <n v="13146"/>
    <x v="0"/>
  </r>
  <r>
    <x v="230"/>
    <x v="3"/>
    <d v="2025-09-09T00:00:00"/>
    <x v="0"/>
    <x v="5"/>
    <s v="AppleMusic  AppleLifestyle"/>
    <n v="19260"/>
    <n v="668"/>
    <n v="994"/>
    <n v="934"/>
    <n v="20509"/>
    <n v="61636"/>
    <n v="19928.016126938801"/>
    <n v="20922"/>
    <x v="1"/>
  </r>
  <r>
    <x v="231"/>
    <x v="1"/>
    <s v="2025-04-29"/>
    <x v="3"/>
    <x v="6"/>
    <s v="AppleWatch  Health"/>
    <n v="16277"/>
    <n v="1109"/>
    <n v="375"/>
    <n v="2225"/>
    <n v="1044"/>
    <n v="121889"/>
    <n v="17386.003076569665"/>
    <n v="17761"/>
    <x v="3"/>
  </r>
  <r>
    <x v="232"/>
    <x v="1"/>
    <s v="2025-03-08"/>
    <x v="0"/>
    <x v="0"/>
    <s v="AppleWatchUltra2  HealthTech"/>
    <n v="5812"/>
    <n v="934"/>
    <n v="302"/>
    <n v="2356"/>
    <n v="37437"/>
    <n v="93551"/>
    <n v="6746.0032281856957"/>
    <n v="7048"/>
    <x v="0"/>
  </r>
  <r>
    <x v="233"/>
    <x v="1"/>
    <s v="2024-06-01"/>
    <x v="0"/>
    <x v="5"/>
    <s v="AppleMusic  AppleLifestyle"/>
    <n v="19844"/>
    <n v="1022"/>
    <n v="860"/>
    <n v="2570"/>
    <n v="23719"/>
    <n v="182628"/>
    <n v="20866.004709025998"/>
    <n v="21726"/>
    <x v="2"/>
  </r>
  <r>
    <x v="234"/>
    <x v="1"/>
    <s v="2024-12-22"/>
    <x v="1"/>
    <x v="3"/>
    <s v="AppleEvent  iPadPro"/>
    <n v="20117"/>
    <n v="1143"/>
    <n v="713"/>
    <n v="1739"/>
    <n v="34444"/>
    <n v="198670"/>
    <n v="21260.003588865959"/>
    <n v="21973"/>
    <x v="4"/>
  </r>
  <r>
    <x v="235"/>
    <x v="1"/>
    <s v="2024-08-19"/>
    <x v="2"/>
    <x v="9"/>
    <s v="iPhonePhotography  ShotOniPhone"/>
    <n v="3605"/>
    <n v="206"/>
    <n v="921"/>
    <n v="852"/>
    <n v="11660"/>
    <n v="182635"/>
    <n v="3811.0050428450186"/>
    <n v="4732"/>
    <x v="3"/>
  </r>
  <r>
    <x v="236"/>
    <x v="3"/>
    <s v="2024-10-22"/>
    <x v="3"/>
    <x v="2"/>
    <s v="AppleDesign  Innovation"/>
    <n v="7622"/>
    <n v="529"/>
    <n v="720"/>
    <n v="1015"/>
    <n v="71322"/>
    <n v="86819"/>
    <n v="8151.0082931155621"/>
    <n v="8871"/>
    <x v="4"/>
  </r>
  <r>
    <x v="237"/>
    <x v="3"/>
    <s v="2024-07-16"/>
    <x v="1"/>
    <x v="7"/>
    <s v="iPhone16Launch  AppleEvent"/>
    <n v="8767"/>
    <n v="974"/>
    <n v="733"/>
    <n v="1587"/>
    <n v="74927"/>
    <n v="113770"/>
    <n v="9741.0064428232399"/>
    <n v="10474"/>
    <x v="0"/>
  </r>
  <r>
    <x v="238"/>
    <x v="0"/>
    <d v="2025-09-10T00:00:00"/>
    <x v="0"/>
    <x v="1"/>
    <s v="MacBookAirM3  AppleInnovation"/>
    <n v="13613"/>
    <n v="350"/>
    <n v="809"/>
    <n v="2013"/>
    <n v="20471"/>
    <n v="198038"/>
    <n v="13963.004085074581"/>
    <n v="14772"/>
    <x v="1"/>
  </r>
  <r>
    <x v="239"/>
    <x v="1"/>
    <d v="2025-09-11T00:00:00"/>
    <x v="2"/>
    <x v="5"/>
    <s v="AppleMusic  AppleLifestyle"/>
    <n v="21901"/>
    <n v="1308"/>
    <n v="724"/>
    <n v="2183"/>
    <n v="15996"/>
    <n v="230961"/>
    <n v="23209.003134728373"/>
    <n v="23933"/>
    <x v="1"/>
  </r>
  <r>
    <x v="240"/>
    <x v="3"/>
    <s v="2025-01-18"/>
    <x v="1"/>
    <x v="9"/>
    <s v="iPhonePhotography  ShotOniPhone"/>
    <n v="12589"/>
    <n v="346"/>
    <n v="459"/>
    <n v="1407"/>
    <n v="29254"/>
    <n v="198059"/>
    <n v="12935.002317491253"/>
    <n v="13394"/>
    <x v="2"/>
  </r>
  <r>
    <x v="241"/>
    <x v="0"/>
    <d v="2025-09-12T00:00:00"/>
    <x v="2"/>
    <x v="5"/>
    <s v="AppleMusic  AppleLifestyle"/>
    <n v="15918"/>
    <n v="1114"/>
    <n v="392"/>
    <n v="1641"/>
    <n v="28044"/>
    <n v="118714"/>
    <n v="17032.003302053676"/>
    <n v="17424"/>
    <x v="1"/>
  </r>
  <r>
    <x v="242"/>
    <x v="1"/>
    <s v="2025-03-06"/>
    <x v="1"/>
    <x v="7"/>
    <s v="iPhone16Launch  AppleEvent"/>
    <n v="22119"/>
    <n v="899"/>
    <n v="642"/>
    <n v="410"/>
    <n v="49490"/>
    <n v="229420"/>
    <n v="23018.002798361085"/>
    <n v="23660"/>
    <x v="3"/>
  </r>
  <r>
    <x v="243"/>
    <x v="2"/>
    <d v="2025-09-13T00:00:00"/>
    <x v="2"/>
    <x v="9"/>
    <s v="iPhonePhotography  ShotOniPhone"/>
    <n v="15046"/>
    <n v="281"/>
    <n v="515"/>
    <n v="550"/>
    <n v="22583"/>
    <n v="64596"/>
    <n v="15327.007972629885"/>
    <n v="15842"/>
    <x v="1"/>
  </r>
  <r>
    <x v="244"/>
    <x v="0"/>
    <s v="2025-01-12"/>
    <x v="0"/>
    <x v="3"/>
    <s v="AppleEvent  iPadPro"/>
    <n v="4590"/>
    <n v="713"/>
    <n v="479"/>
    <n v="2730"/>
    <n v="41050"/>
    <n v="204246"/>
    <n v="5303.0023452111673"/>
    <n v="5782"/>
    <x v="2"/>
  </r>
  <r>
    <x v="245"/>
    <x v="3"/>
    <s v="2024-10-11"/>
    <x v="3"/>
    <x v="7"/>
    <s v="iPhone16Launch  AppleEvent"/>
    <n v="19447"/>
    <n v="1014"/>
    <n v="256"/>
    <n v="2354"/>
    <n v="5472"/>
    <n v="104106"/>
    <n v="20461.002459032141"/>
    <n v="20717"/>
    <x v="0"/>
  </r>
  <r>
    <x v="246"/>
    <x v="2"/>
    <s v="2024-08-27"/>
    <x v="0"/>
    <x v="10"/>
    <s v="MacBookProM3"/>
    <n v="6324"/>
    <n v="908"/>
    <n v="375"/>
    <n v="758"/>
    <n v="34850"/>
    <n v="241039"/>
    <n v="7232.0015557648348"/>
    <n v="7607"/>
    <x v="0"/>
  </r>
  <r>
    <x v="247"/>
    <x v="2"/>
    <d v="2025-09-14T00:00:00"/>
    <x v="3"/>
    <x v="8"/>
    <s v="AppleEvent  iPhone16"/>
    <n v="12787"/>
    <n v="945"/>
    <n v="974"/>
    <n v="1407"/>
    <n v="4037"/>
    <n v="99182"/>
    <n v="13732.009820330302"/>
    <n v="14706"/>
    <x v="1"/>
  </r>
  <r>
    <x v="248"/>
    <x v="2"/>
    <s v="2024-07-18"/>
    <x v="2"/>
    <x v="10"/>
    <s v="MacBookProM3"/>
    <n v="11111"/>
    <n v="1222"/>
    <n v="367"/>
    <n v="507"/>
    <n v="14129"/>
    <n v="127163"/>
    <n v="12333.002886059625"/>
    <n v="12700"/>
    <x v="4"/>
  </r>
  <r>
    <x v="249"/>
    <x v="0"/>
    <s v="2024-06-22"/>
    <x v="1"/>
    <x v="6"/>
    <s v="AppleWatch  Health"/>
    <n v="7342"/>
    <n v="906"/>
    <n v="902"/>
    <n v="1199"/>
    <n v="68488"/>
    <n v="79310"/>
    <n v="8248.0113730929261"/>
    <n v="9150"/>
    <x v="0"/>
  </r>
  <r>
    <x v="250"/>
    <x v="3"/>
    <d v="2025-09-15T00:00:00"/>
    <x v="0"/>
    <x v="5"/>
    <s v="AppleMusic  AppleLifestyle"/>
    <n v="18389"/>
    <n v="670"/>
    <n v="655"/>
    <n v="321"/>
    <n v="21869"/>
    <n v="96088"/>
    <n v="19059.006816668054"/>
    <n v="19714"/>
    <x v="1"/>
  </r>
  <r>
    <x v="251"/>
    <x v="2"/>
    <s v="2025-04-28"/>
    <x v="3"/>
    <x v="8"/>
    <s v="AppleEvent  iPhone16"/>
    <n v="10659"/>
    <n v="1342"/>
    <n v="408"/>
    <n v="709"/>
    <n v="16309"/>
    <n v="168803"/>
    <n v="12001.002417018655"/>
    <n v="12409"/>
    <x v="2"/>
  </r>
  <r>
    <x v="252"/>
    <x v="1"/>
    <d v="2025-09-16T00:00:00"/>
    <x v="0"/>
    <x v="10"/>
    <s v="MacBookProM3"/>
    <n v="16043"/>
    <n v="595"/>
    <n v="923"/>
    <n v="1194"/>
    <n v="52613"/>
    <n v="179978"/>
    <n v="16638.005128404584"/>
    <n v="17561"/>
    <x v="1"/>
  </r>
  <r>
    <x v="253"/>
    <x v="2"/>
    <s v="2025-01-14"/>
    <x v="3"/>
    <x v="8"/>
    <s v="AppleEvent  iPhone16"/>
    <n v="24350"/>
    <n v="460"/>
    <n v="666"/>
    <n v="814"/>
    <n v="21120"/>
    <n v="76914"/>
    <n v="24810.008659021765"/>
    <n v="25476"/>
    <x v="0"/>
  </r>
  <r>
    <x v="254"/>
    <x v="2"/>
    <s v="2025-04-03"/>
    <x v="0"/>
    <x v="11"/>
    <s v="Sustainability  AppleEarth"/>
    <n v="10837"/>
    <n v="1004"/>
    <n v="922"/>
    <n v="1108"/>
    <n v="36807"/>
    <n v="150350"/>
    <n v="11841.006132357832"/>
    <n v="12763"/>
    <x v="2"/>
  </r>
  <r>
    <x v="255"/>
    <x v="0"/>
    <d v="2025-09-17T00:00:00"/>
    <x v="3"/>
    <x v="5"/>
    <s v="AppleMusic  AppleLifestyle"/>
    <n v="2117"/>
    <n v="1133"/>
    <n v="203"/>
    <n v="1173"/>
    <n v="40125"/>
    <n v="85379"/>
    <n v="3250.0023776338444"/>
    <n v="3453"/>
    <x v="1"/>
  </r>
  <r>
    <x v="256"/>
    <x v="0"/>
    <s v="2025-04-06"/>
    <x v="3"/>
    <x v="8"/>
    <s v="AppleEvent  iPhone16"/>
    <n v="15917"/>
    <n v="1479"/>
    <n v="196"/>
    <n v="313"/>
    <n v="48524"/>
    <n v="249684"/>
    <n v="17396.000784992229"/>
    <n v="17592"/>
    <x v="3"/>
  </r>
  <r>
    <x v="257"/>
    <x v="3"/>
    <s v="2024-08-05"/>
    <x v="2"/>
    <x v="0"/>
    <s v="AppleWatchUltra2  HealthTech"/>
    <n v="20935"/>
    <n v="1104"/>
    <n v="876"/>
    <n v="1270"/>
    <n v="21454"/>
    <n v="208722"/>
    <n v="22039.004196970134"/>
    <n v="22915"/>
    <x v="2"/>
  </r>
  <r>
    <x v="258"/>
    <x v="1"/>
    <s v="2025-02-10"/>
    <x v="3"/>
    <x v="1"/>
    <s v="MacBookAirM3  AppleInnovation"/>
    <n v="16309"/>
    <n v="1449"/>
    <n v="838"/>
    <n v="2434"/>
    <n v="2940"/>
    <n v="217953"/>
    <n v="17758.003844865638"/>
    <n v="18596"/>
    <x v="3"/>
  </r>
  <r>
    <x v="259"/>
    <x v="0"/>
    <s v="2025-02-12"/>
    <x v="2"/>
    <x v="1"/>
    <s v="MacBookAirM3  AppleInnovation"/>
    <n v="15234"/>
    <n v="1276"/>
    <n v="670"/>
    <n v="1860"/>
    <n v="60397"/>
    <n v="86413"/>
    <n v="16510.007753463022"/>
    <n v="17180"/>
    <x v="4"/>
  </r>
  <r>
    <x v="260"/>
    <x v="2"/>
    <s v="2024-10-27"/>
    <x v="3"/>
    <x v="0"/>
    <s v="AppleWatchUltra2  HealthTech"/>
    <n v="7560"/>
    <n v="1139"/>
    <n v="248"/>
    <n v="1624"/>
    <n v="72237"/>
    <n v="177084"/>
    <n v="8699.0014004653167"/>
    <n v="8947"/>
    <x v="2"/>
  </r>
  <r>
    <x v="261"/>
    <x v="3"/>
    <s v="2025-01-18"/>
    <x v="1"/>
    <x v="9"/>
    <s v="iPhonePhotography  ShotOniPhone"/>
    <n v="22673"/>
    <n v="1053"/>
    <n v="169"/>
    <n v="1566"/>
    <n v="9417"/>
    <n v="221187"/>
    <n v="23726.000764059372"/>
    <n v="23895"/>
    <x v="3"/>
  </r>
  <r>
    <x v="262"/>
    <x v="2"/>
    <s v="2024-08-20"/>
    <x v="1"/>
    <x v="4"/>
    <s v="ShotOniPhone"/>
    <n v="2846"/>
    <n v="792"/>
    <n v="902"/>
    <n v="2469"/>
    <n v="12130"/>
    <n v="47151"/>
    <n v="3638.0191300290558"/>
    <n v="4540"/>
    <x v="0"/>
  </r>
  <r>
    <x v="263"/>
    <x v="2"/>
    <s v="2025-01-30"/>
    <x v="1"/>
    <x v="9"/>
    <s v="iPhonePhotography  ShotOniPhone"/>
    <n v="12954"/>
    <n v="913"/>
    <n v="722"/>
    <n v="1049"/>
    <n v="475"/>
    <n v="97716"/>
    <n v="13867.007388759261"/>
    <n v="14589"/>
    <x v="0"/>
  </r>
  <r>
    <x v="264"/>
    <x v="0"/>
    <s v="2025-02-20"/>
    <x v="3"/>
    <x v="7"/>
    <s v="iPhone16Launch  AppleEvent"/>
    <n v="15703"/>
    <n v="1381"/>
    <n v="639"/>
    <n v="984"/>
    <n v="10967"/>
    <n v="133747"/>
    <n v="17084.004777677255"/>
    <n v="17723"/>
    <x v="4"/>
  </r>
  <r>
    <x v="265"/>
    <x v="3"/>
    <s v="2024-11-25"/>
    <x v="2"/>
    <x v="7"/>
    <s v="iPhone16Launch  AppleEvent"/>
    <n v="17385"/>
    <n v="831"/>
    <n v="568"/>
    <n v="2227"/>
    <n v="49351"/>
    <n v="207450"/>
    <n v="18216.00273800916"/>
    <n v="18784"/>
    <x v="2"/>
  </r>
  <r>
    <x v="266"/>
    <x v="1"/>
    <s v="2024-10-04"/>
    <x v="2"/>
    <x v="8"/>
    <s v="AppleEvent  iPhone16"/>
    <n v="15746"/>
    <n v="258"/>
    <n v="839"/>
    <n v="2656"/>
    <n v="66614"/>
    <n v="213724"/>
    <n v="16004.003925623701"/>
    <n v="16843"/>
    <x v="2"/>
  </r>
  <r>
    <x v="267"/>
    <x v="1"/>
    <s v="2025-04-13"/>
    <x v="3"/>
    <x v="10"/>
    <s v="MacBookProM3"/>
    <n v="24700"/>
    <n v="327"/>
    <n v="999"/>
    <n v="994"/>
    <n v="59400"/>
    <n v="243502"/>
    <n v="25027.004102635707"/>
    <n v="26026"/>
    <x v="2"/>
  </r>
  <r>
    <x v="268"/>
    <x v="0"/>
    <s v="2024-11-05"/>
    <x v="1"/>
    <x v="10"/>
    <s v="MacBookProM3"/>
    <n v="8469"/>
    <n v="935"/>
    <n v="211"/>
    <n v="2635"/>
    <n v="21890"/>
    <n v="184539"/>
    <n v="9404.0011433897434"/>
    <n v="9615"/>
    <x v="4"/>
  </r>
  <r>
    <x v="269"/>
    <x v="0"/>
    <s v="2025-01-15"/>
    <x v="1"/>
    <x v="1"/>
    <s v="MacBookAirM3  AppleInnovation"/>
    <n v="11333"/>
    <n v="920"/>
    <n v="294"/>
    <n v="606"/>
    <n v="59490"/>
    <n v="202082"/>
    <n v="12253.001454854961"/>
    <n v="12547"/>
    <x v="2"/>
  </r>
  <r>
    <x v="270"/>
    <x v="3"/>
    <s v="2024-10-17"/>
    <x v="2"/>
    <x v="2"/>
    <s v="AppleDesign  Innovation"/>
    <n v="18608"/>
    <n v="1338"/>
    <n v="365"/>
    <n v="2289"/>
    <n v="20785"/>
    <n v="161999"/>
    <n v="19946.002253100327"/>
    <n v="20311"/>
    <x v="0"/>
  </r>
  <r>
    <x v="271"/>
    <x v="1"/>
    <s v="2025-03-27"/>
    <x v="1"/>
    <x v="9"/>
    <s v="iPhonePhotography  ShotOniPhone"/>
    <n v="14819"/>
    <n v="1432"/>
    <n v="152"/>
    <n v="961"/>
    <n v="39154"/>
    <n v="154793"/>
    <n v="16251.000981956548"/>
    <n v="16403"/>
    <x v="3"/>
  </r>
  <r>
    <x v="272"/>
    <x v="1"/>
    <s v="2024-10-12"/>
    <x v="0"/>
    <x v="11"/>
    <s v="Sustainability  AppleEarth"/>
    <n v="6208"/>
    <n v="725"/>
    <n v="309"/>
    <n v="848"/>
    <n v="39319"/>
    <n v="225763"/>
    <n v="6933.0013686919465"/>
    <n v="7242"/>
    <x v="0"/>
  </r>
  <r>
    <x v="273"/>
    <x v="1"/>
    <s v="2025-01-01"/>
    <x v="2"/>
    <x v="5"/>
    <s v="AppleMusic  AppleLifestyle"/>
    <n v="8283"/>
    <n v="720"/>
    <n v="888"/>
    <n v="611"/>
    <n v="52791"/>
    <n v="235229"/>
    <n v="9003.0037750447427"/>
    <n v="9891"/>
    <x v="0"/>
  </r>
  <r>
    <x v="274"/>
    <x v="2"/>
    <s v="2024-08-05"/>
    <x v="1"/>
    <x v="6"/>
    <s v="AppleWatch  Health"/>
    <n v="4048"/>
    <n v="751"/>
    <n v="930"/>
    <n v="1382"/>
    <n v="16844"/>
    <n v="148177"/>
    <n v="4799.0062762776952"/>
    <n v="5729"/>
    <x v="3"/>
  </r>
  <r>
    <x v="275"/>
    <x v="1"/>
    <s v="2024-06-07"/>
    <x v="2"/>
    <x v="3"/>
    <s v="AppleEvent  iPadPro"/>
    <n v="8233"/>
    <n v="436"/>
    <n v="269"/>
    <n v="2037"/>
    <n v="8875"/>
    <n v="52289"/>
    <n v="8669.0051444854562"/>
    <n v="8938"/>
    <x v="0"/>
  </r>
  <r>
    <x v="276"/>
    <x v="2"/>
    <s v="2025-04-06"/>
    <x v="0"/>
    <x v="10"/>
    <s v="MacBookProM3"/>
    <n v="14941"/>
    <n v="1424"/>
    <n v="238"/>
    <n v="1054"/>
    <n v="20516"/>
    <n v="216048"/>
    <n v="16365.001101607051"/>
    <n v="16603"/>
    <x v="4"/>
  </r>
  <r>
    <x v="277"/>
    <x v="3"/>
    <s v="2024-11-26"/>
    <x v="2"/>
    <x v="5"/>
    <s v="AppleMusic  AppleLifestyle"/>
    <n v="14607"/>
    <n v="1458"/>
    <n v="478"/>
    <n v="334"/>
    <n v="49257"/>
    <n v="214668"/>
    <n v="16065.002226694243"/>
    <n v="16543"/>
    <x v="3"/>
  </r>
  <r>
    <x v="278"/>
    <x v="2"/>
    <s v="2024-09-02"/>
    <x v="2"/>
    <x v="3"/>
    <s v="AppleEvent  iPadPro"/>
    <n v="11765"/>
    <n v="693"/>
    <n v="729"/>
    <n v="744"/>
    <n v="97772"/>
    <n v="194243"/>
    <n v="12458.003753030996"/>
    <n v="13187"/>
    <x v="0"/>
  </r>
  <r>
    <x v="279"/>
    <x v="3"/>
    <d v="2025-09-18T00:00:00"/>
    <x v="2"/>
    <x v="5"/>
    <s v="AppleMusic  AppleLifestyle"/>
    <n v="3828"/>
    <n v="203"/>
    <n v="506"/>
    <n v="2440"/>
    <n v="63650"/>
    <n v="126365"/>
    <n v="4031.0040042733353"/>
    <n v="4537"/>
    <x v="1"/>
  </r>
  <r>
    <x v="280"/>
    <x v="1"/>
    <s v="2025-03-22"/>
    <x v="2"/>
    <x v="8"/>
    <s v="AppleEvent  iPhone16"/>
    <n v="3917"/>
    <n v="865"/>
    <n v="759"/>
    <n v="2282"/>
    <n v="56125"/>
    <n v="154014"/>
    <n v="4782.0049281234169"/>
    <n v="5541"/>
    <x v="0"/>
  </r>
  <r>
    <x v="281"/>
    <x v="1"/>
    <s v="2024-10-03"/>
    <x v="0"/>
    <x v="3"/>
    <s v="AppleEvent  iPadPro"/>
    <n v="22618"/>
    <n v="641"/>
    <n v="416"/>
    <n v="1530"/>
    <n v="18395"/>
    <n v="215211"/>
    <n v="23259.001932986695"/>
    <n v="23675"/>
    <x v="4"/>
  </r>
  <r>
    <x v="282"/>
    <x v="3"/>
    <s v="2025-05-09"/>
    <x v="3"/>
    <x v="6"/>
    <s v="AppleWatch  Health"/>
    <n v="8988"/>
    <n v="228"/>
    <n v="766"/>
    <n v="652"/>
    <n v="63789"/>
    <n v="219785"/>
    <n v="9216.003485224197"/>
    <n v="9982"/>
    <x v="2"/>
  </r>
  <r>
    <x v="283"/>
    <x v="0"/>
    <s v="2024-09-17"/>
    <x v="2"/>
    <x v="5"/>
    <s v="AppleMusic  AppleLifestyle"/>
    <n v="20410"/>
    <n v="1332"/>
    <n v="472"/>
    <n v="1202"/>
    <n v="9418"/>
    <n v="200806"/>
    <n v="21742.002350527375"/>
    <n v="22214"/>
    <x v="0"/>
  </r>
  <r>
    <x v="284"/>
    <x v="3"/>
    <s v="2024-07-18"/>
    <x v="2"/>
    <x v="0"/>
    <s v="AppleWatchUltra2  HealthTech"/>
    <n v="16594"/>
    <n v="809"/>
    <n v="784"/>
    <n v="1655"/>
    <n v="35505"/>
    <n v="112588"/>
    <n v="17403.006963441931"/>
    <n v="18187"/>
    <x v="2"/>
  </r>
  <r>
    <x v="285"/>
    <x v="0"/>
    <d v="2025-09-19T00:00:00"/>
    <x v="1"/>
    <x v="6"/>
    <s v="AppleWatch  Health"/>
    <n v="22128"/>
    <n v="1004"/>
    <n v="690"/>
    <n v="2048"/>
    <n v="19443"/>
    <n v="103646"/>
    <n v="23132.006657275728"/>
    <n v="23822"/>
    <x v="1"/>
  </r>
  <r>
    <x v="286"/>
    <x v="2"/>
    <s v="2024-08-15"/>
    <x v="2"/>
    <x v="3"/>
    <s v="AppleEvent  iPadPro"/>
    <n v="14977"/>
    <n v="274"/>
    <n v="798"/>
    <n v="458"/>
    <n v="6636"/>
    <n v="43654"/>
    <n v="15251.018280111788"/>
    <n v="16049"/>
    <x v="0"/>
  </r>
  <r>
    <x v="287"/>
    <x v="2"/>
    <s v="2025-04-17"/>
    <x v="1"/>
    <x v="6"/>
    <s v="AppleWatch  Health"/>
    <n v="2009"/>
    <n v="1037"/>
    <n v="344"/>
    <n v="2277"/>
    <n v="85743"/>
    <n v="58743"/>
    <n v="3046.0058560168873"/>
    <n v="3390"/>
    <x v="3"/>
  </r>
  <r>
    <x v="288"/>
    <x v="2"/>
    <s v="2024-11-28"/>
    <x v="3"/>
    <x v="5"/>
    <s v="AppleMusic  AppleLifestyle"/>
    <n v="18644"/>
    <n v="1369"/>
    <n v="887"/>
    <n v="1256"/>
    <n v="43415"/>
    <n v="88368"/>
    <n v="20013.010037570162"/>
    <n v="20900"/>
    <x v="2"/>
  </r>
  <r>
    <x v="289"/>
    <x v="1"/>
    <d v="2025-09-20T00:00:00"/>
    <x v="0"/>
    <x v="4"/>
    <s v="ShotOniPhone"/>
    <n v="24422"/>
    <n v="327"/>
    <n v="481"/>
    <n v="2371"/>
    <n v="35340"/>
    <n v="245244"/>
    <n v="24749.001961311998"/>
    <n v="25230"/>
    <x v="1"/>
  </r>
  <r>
    <x v="290"/>
    <x v="2"/>
    <s v="2024-11-06"/>
    <x v="0"/>
    <x v="5"/>
    <s v="AppleMusic  AppleLifestyle"/>
    <n v="11865"/>
    <n v="241"/>
    <n v="319"/>
    <n v="703"/>
    <n v="69596"/>
    <n v="177513"/>
    <n v="12106.001797051484"/>
    <n v="12425"/>
    <x v="3"/>
  </r>
  <r>
    <x v="291"/>
    <x v="0"/>
    <s v="2024-11-17"/>
    <x v="3"/>
    <x v="5"/>
    <s v="AppleMusic  AppleLifestyle"/>
    <n v="4219"/>
    <n v="240"/>
    <n v="670"/>
    <n v="815"/>
    <n v="11978"/>
    <n v="159735"/>
    <n v="4459.0041944470531"/>
    <n v="5129"/>
    <x v="3"/>
  </r>
  <r>
    <x v="292"/>
    <x v="2"/>
    <s v="2025-05-14"/>
    <x v="0"/>
    <x v="8"/>
    <s v="AppleEvent  iPhone16"/>
    <n v="9041"/>
    <n v="1133"/>
    <n v="612"/>
    <n v="1687"/>
    <n v="28102"/>
    <n v="195683"/>
    <n v="10174.003127507243"/>
    <n v="10786"/>
    <x v="3"/>
  </r>
  <r>
    <x v="293"/>
    <x v="3"/>
    <s v="2024-06-19"/>
    <x v="3"/>
    <x v="9"/>
    <s v="iPhonePhotography  ShotOniPhone"/>
    <n v="20444"/>
    <n v="233"/>
    <n v="189"/>
    <n v="2879"/>
    <n v="28185"/>
    <n v="159891"/>
    <n v="20677.001182055275"/>
    <n v="20866"/>
    <x v="3"/>
  </r>
  <r>
    <x v="294"/>
    <x v="3"/>
    <s v="2025-05-06"/>
    <x v="3"/>
    <x v="0"/>
    <s v="AppleWatchUltra2  HealthTech"/>
    <n v="7287"/>
    <n v="1240"/>
    <n v="686"/>
    <n v="1255"/>
    <n v="15403"/>
    <n v="147971"/>
    <n v="8527.0046360435499"/>
    <n v="9213"/>
    <x v="0"/>
  </r>
  <r>
    <x v="295"/>
    <x v="1"/>
    <s v="2025-02-11"/>
    <x v="3"/>
    <x v="11"/>
    <s v="Sustainability  AppleEarth"/>
    <n v="3619"/>
    <n v="1376"/>
    <n v="410"/>
    <n v="2499"/>
    <n v="58146"/>
    <n v="52149"/>
    <n v="4995.0078620874801"/>
    <n v="5405"/>
    <x v="0"/>
  </r>
  <r>
    <x v="296"/>
    <x v="3"/>
    <s v="2024-12-24"/>
    <x v="0"/>
    <x v="10"/>
    <s v="MacBookProM3"/>
    <n v="10512"/>
    <n v="1197"/>
    <n v="544"/>
    <n v="2012"/>
    <n v="10245"/>
    <n v="140102"/>
    <n v="11709.003882885327"/>
    <n v="12253"/>
    <x v="0"/>
  </r>
  <r>
    <x v="297"/>
    <x v="0"/>
    <d v="2025-09-24T00:00:00"/>
    <x v="1"/>
    <x v="7"/>
    <s v="iPhone16Launch  AppleEvent"/>
    <n v="3342"/>
    <n v="787"/>
    <n v="375"/>
    <n v="907"/>
    <n v="85823"/>
    <n v="99189"/>
    <n v="4129.0037806611617"/>
    <n v="4504"/>
    <x v="1"/>
  </r>
  <r>
    <x v="298"/>
    <x v="2"/>
    <d v="2025-09-25T00:00:00"/>
    <x v="3"/>
    <x v="9"/>
    <s v="iPhonePhotography  ShotOniPhone"/>
    <n v="12568"/>
    <n v="541"/>
    <n v="273"/>
    <n v="2767"/>
    <n v="22331"/>
    <n v="192747"/>
    <n v="13109.001416364457"/>
    <n v="13382"/>
    <x v="1"/>
  </r>
  <r>
    <x v="299"/>
    <x v="1"/>
    <d v="2025-09-26T00:00:00"/>
    <x v="2"/>
    <x v="7"/>
    <s v="iPhone16Launch  AppleEvent"/>
    <n v="21216"/>
    <n v="226"/>
    <n v="187"/>
    <n v="1573"/>
    <n v="62688"/>
    <n v="111031"/>
    <n v="21442.00168421432"/>
    <n v="2162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2024-06-03"/>
    <x v="0"/>
    <n v="4138"/>
    <n v="361"/>
    <n v="103777"/>
    <n v="56.637790647253247"/>
    <n v="23944"/>
  </r>
  <r>
    <x v="0"/>
    <s v="2024-06-03"/>
    <x v="1"/>
    <n v="8693"/>
    <n v="1261"/>
    <n v="111209"/>
    <n v="69.475492091467416"/>
    <n v="29873"/>
  </r>
  <r>
    <x v="0"/>
    <s v="2024-06-03"/>
    <x v="2"/>
    <n v="9264"/>
    <n v="1141"/>
    <n v="119332"/>
    <n v="92.312204605638044"/>
    <n v="50372"/>
  </r>
  <r>
    <x v="0"/>
    <s v="2024-06-03"/>
    <x v="2"/>
    <n v="8842"/>
    <n v="971"/>
    <n v="127203"/>
    <n v="16.351815601833291"/>
    <n v="33928"/>
  </r>
  <r>
    <x v="0"/>
    <s v="2024-06-10"/>
    <x v="0"/>
    <n v="7721"/>
    <n v="506"/>
    <n v="134418"/>
    <n v="35.577824398518047"/>
    <n v="25379"/>
  </r>
  <r>
    <x v="0"/>
    <s v="2024-06-10"/>
    <x v="2"/>
    <n v="8002"/>
    <n v="524"/>
    <n v="141896"/>
    <n v="52.064892597395271"/>
    <n v="46751"/>
  </r>
  <r>
    <x v="0"/>
    <s v="2024-06-10"/>
    <x v="1"/>
    <n v="5225"/>
    <n v="291"/>
    <n v="146830"/>
    <n v="19.551862698358651"/>
    <n v="44546"/>
  </r>
  <r>
    <x v="0"/>
    <s v="2024-06-10"/>
    <x v="1"/>
    <n v="3978"/>
    <n v="543"/>
    <n v="150265"/>
    <n v="49.159817655475329"/>
    <n v="34286"/>
  </r>
  <r>
    <x v="0"/>
    <s v="2024-06-17"/>
    <x v="0"/>
    <n v="8373"/>
    <n v="921"/>
    <n v="157717"/>
    <n v="12.2263294381709"/>
    <n v="15110"/>
  </r>
  <r>
    <x v="0"/>
    <s v="2024-06-17"/>
    <x v="1"/>
    <n v="6907"/>
    <n v="834"/>
    <n v="163790"/>
    <n v="54.158984064961238"/>
    <n v="22087"/>
  </r>
  <r>
    <x v="0"/>
    <s v="2024-06-17"/>
    <x v="3"/>
    <n v="7097"/>
    <n v="369"/>
    <n v="170518"/>
    <n v="9.2506362964613711"/>
    <n v="33762"/>
  </r>
  <r>
    <x v="0"/>
    <s v="2024-06-17"/>
    <x v="0"/>
    <n v="6656"/>
    <n v="978"/>
    <n v="176196"/>
    <n v="60.425889350496043"/>
    <n v="27081"/>
  </r>
  <r>
    <x v="0"/>
    <s v="2024-06-24"/>
    <x v="1"/>
    <n v="9984"/>
    <n v="1330"/>
    <n v="184850"/>
    <n v="57.524479307546663"/>
    <n v="44947"/>
  </r>
  <r>
    <x v="0"/>
    <s v="2024-06-24"/>
    <x v="0"/>
    <n v="5259"/>
    <n v="374"/>
    <n v="189735"/>
    <n v="14.827522597306769"/>
    <n v="19596"/>
  </r>
  <r>
    <x v="0"/>
    <s v="2024-06-24"/>
    <x v="2"/>
    <n v="9286"/>
    <n v="633"/>
    <n v="198388"/>
    <n v="5.4343004617214756"/>
    <n v="48019"/>
  </r>
  <r>
    <x v="0"/>
    <s v="2024-06-24"/>
    <x v="1"/>
    <n v="6901"/>
    <n v="471"/>
    <n v="204818"/>
    <n v="60.827661631301943"/>
    <n v="52003"/>
  </r>
  <r>
    <x v="1"/>
    <s v="2024-07-01"/>
    <x v="3"/>
    <n v="5917"/>
    <n v="475"/>
    <n v="210260"/>
    <n v="17.894035955483691"/>
    <n v="28313"/>
  </r>
  <r>
    <x v="1"/>
    <s v="2024-07-01"/>
    <x v="1"/>
    <n v="9429"/>
    <n v="966"/>
    <n v="218723"/>
    <n v="7.6914636320825887"/>
    <n v="57639"/>
  </r>
  <r>
    <x v="1"/>
    <s v="2024-07-01"/>
    <x v="0"/>
    <n v="3530"/>
    <n v="328"/>
    <n v="221925"/>
    <n v="12.8372197814577"/>
    <n v="11013"/>
  </r>
  <r>
    <x v="1"/>
    <s v="2024-07-01"/>
    <x v="0"/>
    <n v="2960"/>
    <n v="234"/>
    <n v="224651"/>
    <n v="17.41278694508371"/>
    <n v="59378"/>
  </r>
  <r>
    <x v="1"/>
    <s v="2024-07-08"/>
    <x v="1"/>
    <n v="8045"/>
    <n v="894"/>
    <n v="231802"/>
    <n v="47.634187798207087"/>
    <n v="33705"/>
  </r>
  <r>
    <x v="1"/>
    <s v="2024-07-08"/>
    <x v="3"/>
    <n v="2048"/>
    <n v="130"/>
    <n v="233720"/>
    <n v="39.284614068115687"/>
    <n v="11828"/>
  </r>
  <r>
    <x v="1"/>
    <s v="2024-07-08"/>
    <x v="3"/>
    <n v="6772"/>
    <n v="536"/>
    <n v="239956"/>
    <n v="9.8205504342462788"/>
    <n v="17909"/>
  </r>
  <r>
    <x v="1"/>
    <s v="2024-07-08"/>
    <x v="3"/>
    <n v="3529"/>
    <n v="305"/>
    <n v="243180"/>
    <n v="41.606628834608109"/>
    <n v="48356"/>
  </r>
  <r>
    <x v="1"/>
    <s v="2024-07-15"/>
    <x v="0"/>
    <n v="3964"/>
    <n v="378"/>
    <n v="246766"/>
    <n v="13.6355899921383"/>
    <n v="23109"/>
  </r>
  <r>
    <x v="1"/>
    <s v="2024-07-15"/>
    <x v="1"/>
    <n v="8137"/>
    <n v="1045"/>
    <n v="253858"/>
    <n v="20.47246886054408"/>
    <n v="12023"/>
  </r>
  <r>
    <x v="1"/>
    <s v="2024-07-15"/>
    <x v="2"/>
    <n v="1963"/>
    <n v="137"/>
    <n v="255684"/>
    <n v="11.2083665774941"/>
    <n v="24537"/>
  </r>
  <r>
    <x v="1"/>
    <s v="2024-07-15"/>
    <x v="0"/>
    <n v="1536"/>
    <n v="155"/>
    <n v="257065"/>
    <n v="12.15762550327738"/>
    <n v="36661"/>
  </r>
  <r>
    <x v="1"/>
    <s v="2024-07-22"/>
    <x v="3"/>
    <n v="8340"/>
    <n v="911"/>
    <n v="264494"/>
    <n v="37.302925586213682"/>
    <n v="48659"/>
  </r>
  <r>
    <x v="1"/>
    <s v="2024-07-22"/>
    <x v="1"/>
    <n v="8179"/>
    <n v="446"/>
    <n v="272227"/>
    <n v="41.82171496581897"/>
    <n v="43848"/>
  </r>
  <r>
    <x v="1"/>
    <s v="2024-07-22"/>
    <x v="3"/>
    <n v="8967"/>
    <n v="993"/>
    <n v="280201"/>
    <n v="52.792102811910027"/>
    <n v="47804"/>
  </r>
  <r>
    <x v="1"/>
    <s v="2024-07-22"/>
    <x v="2"/>
    <n v="9734"/>
    <n v="652"/>
    <n v="289283"/>
    <n v="49.647922622483861"/>
    <n v="25379"/>
  </r>
  <r>
    <x v="1"/>
    <s v="2024-07-29"/>
    <x v="3"/>
    <n v="1845"/>
    <n v="104"/>
    <n v="291024"/>
    <n v="28.158158777282971"/>
    <n v="37766"/>
  </r>
  <r>
    <x v="1"/>
    <s v="2024-07-29"/>
    <x v="3"/>
    <n v="6777"/>
    <n v="981"/>
    <n v="296820"/>
    <n v="23.920557913887201"/>
    <n v="53590"/>
  </r>
  <r>
    <x v="1"/>
    <s v="2024-07-29"/>
    <x v="2"/>
    <n v="4036"/>
    <n v="591"/>
    <n v="300265"/>
    <n v="44.219272975538267"/>
    <n v="12563"/>
  </r>
  <r>
    <x v="1"/>
    <s v="2024-07-29"/>
    <x v="1"/>
    <n v="6947"/>
    <n v="908"/>
    <n v="306304"/>
    <n v="14.117673944839121"/>
    <n v="46060"/>
  </r>
  <r>
    <x v="2"/>
    <s v="2024-08-05"/>
    <x v="0"/>
    <n v="3494"/>
    <n v="281"/>
    <n v="309517"/>
    <n v="27.765518533715429"/>
    <n v="39197"/>
  </r>
  <r>
    <x v="2"/>
    <s v="2024-08-05"/>
    <x v="1"/>
    <n v="3719"/>
    <n v="222"/>
    <n v="313014"/>
    <n v="21.669318305251519"/>
    <n v="13586"/>
  </r>
  <r>
    <x v="2"/>
    <s v="2024-08-05"/>
    <x v="2"/>
    <n v="2884"/>
    <n v="341"/>
    <n v="315557"/>
    <n v="46.999749649033298"/>
    <n v="26087"/>
  </r>
  <r>
    <x v="2"/>
    <s v="2024-08-05"/>
    <x v="3"/>
    <n v="5349"/>
    <n v="502"/>
    <n v="320404"/>
    <n v="5.2152906954969351"/>
    <n v="58868"/>
  </r>
  <r>
    <x v="2"/>
    <s v="2024-08-12"/>
    <x v="1"/>
    <n v="6179"/>
    <n v="384"/>
    <n v="326199"/>
    <n v="14.71218489327067"/>
    <n v="33225"/>
  </r>
  <r>
    <x v="2"/>
    <s v="2024-08-12"/>
    <x v="0"/>
    <n v="7610"/>
    <n v="757"/>
    <n v="333052"/>
    <n v="44.450416151231643"/>
    <n v="39750"/>
  </r>
  <r>
    <x v="2"/>
    <s v="2024-08-12"/>
    <x v="2"/>
    <n v="7430"/>
    <n v="397"/>
    <n v="340085"/>
    <n v="28.065042562888689"/>
    <n v="16643"/>
  </r>
  <r>
    <x v="2"/>
    <s v="2024-08-12"/>
    <x v="1"/>
    <n v="8154"/>
    <n v="1149"/>
    <n v="347090"/>
    <n v="26.003918292085629"/>
    <n v="37523"/>
  </r>
  <r>
    <x v="2"/>
    <s v="2024-08-19"/>
    <x v="0"/>
    <n v="7488"/>
    <n v="568"/>
    <n v="354010"/>
    <n v="13.47730290104799"/>
    <n v="46727"/>
  </r>
  <r>
    <x v="2"/>
    <s v="2024-08-19"/>
    <x v="2"/>
    <n v="5737"/>
    <n v="666"/>
    <n v="359081"/>
    <n v="4.6034181702735593"/>
    <n v="21005"/>
  </r>
  <r>
    <x v="2"/>
    <s v="2024-08-19"/>
    <x v="0"/>
    <n v="7525"/>
    <n v="610"/>
    <n v="365996"/>
    <n v="5.7694619613329108"/>
    <n v="53543"/>
  </r>
  <r>
    <x v="2"/>
    <s v="2024-08-19"/>
    <x v="2"/>
    <n v="4850"/>
    <n v="494"/>
    <n v="370352"/>
    <n v="20.46539508359615"/>
    <n v="10161"/>
  </r>
  <r>
    <x v="2"/>
    <s v="2024-08-26"/>
    <x v="3"/>
    <n v="1689"/>
    <n v="176"/>
    <n v="371865"/>
    <n v="38.012181840183942"/>
    <n v="26029"/>
  </r>
  <r>
    <x v="2"/>
    <s v="2024-08-26"/>
    <x v="1"/>
    <n v="6175"/>
    <n v="422"/>
    <n v="377618"/>
    <n v="37.86101298137271"/>
    <n v="59745"/>
  </r>
  <r>
    <x v="2"/>
    <s v="2024-08-26"/>
    <x v="0"/>
    <n v="9648"/>
    <n v="1417"/>
    <n v="385849"/>
    <n v="3.6633501706626168"/>
    <n v="24226"/>
  </r>
  <r>
    <x v="2"/>
    <s v="2024-08-26"/>
    <x v="2"/>
    <n v="6078"/>
    <n v="775"/>
    <n v="391152"/>
    <n v="37.760512537325639"/>
    <n v="38731"/>
  </r>
  <r>
    <x v="3"/>
    <s v="2024-09-02"/>
    <x v="0"/>
    <n v="6448"/>
    <n v="928"/>
    <n v="396672"/>
    <n v="30.118586640851881"/>
    <n v="53922"/>
  </r>
  <r>
    <x v="3"/>
    <s v="2024-09-02"/>
    <x v="0"/>
    <n v="2179"/>
    <n v="303"/>
    <n v="398548"/>
    <n v="33.909842729106657"/>
    <n v="54848"/>
  </r>
  <r>
    <x v="3"/>
    <s v="2024-09-02"/>
    <x v="1"/>
    <n v="7406"/>
    <n v="813"/>
    <n v="405141"/>
    <n v="24.457411123534769"/>
    <n v="13390"/>
  </r>
  <r>
    <x v="3"/>
    <s v="2024-09-02"/>
    <x v="3"/>
    <n v="9591"/>
    <n v="1363"/>
    <n v="413369"/>
    <n v="10.494255737609739"/>
    <n v="15997"/>
  </r>
  <r>
    <x v="3"/>
    <s v="2024-09-09"/>
    <x v="0"/>
    <n v="7907"/>
    <n v="465"/>
    <n v="420811"/>
    <n v="33.257448118038738"/>
    <n v="22693"/>
  </r>
  <r>
    <x v="3"/>
    <s v="2024-09-09"/>
    <x v="2"/>
    <n v="9800"/>
    <n v="682"/>
    <n v="429929"/>
    <n v="6.2966210699906267"/>
    <n v="59815"/>
  </r>
  <r>
    <x v="3"/>
    <s v="2024-09-09"/>
    <x v="2"/>
    <n v="2638"/>
    <n v="143"/>
    <n v="432424"/>
    <n v="6.9547481175882924"/>
    <n v="52092"/>
  </r>
  <r>
    <x v="3"/>
    <s v="2024-09-09"/>
    <x v="3"/>
    <n v="6671"/>
    <n v="550"/>
    <n v="438545"/>
    <n v="17.750287883797562"/>
    <n v="10541"/>
  </r>
  <r>
    <x v="3"/>
    <s v="2024-09-16"/>
    <x v="2"/>
    <n v="7928"/>
    <n v="704"/>
    <n v="445769"/>
    <n v="11.194362999670229"/>
    <n v="31817"/>
  </r>
  <r>
    <x v="3"/>
    <s v="2024-09-16"/>
    <x v="3"/>
    <n v="2382"/>
    <n v="183"/>
    <n v="447968"/>
    <n v="4.7335970426459033"/>
    <n v="47861"/>
  </r>
  <r>
    <x v="3"/>
    <s v="2024-09-16"/>
    <x v="2"/>
    <n v="2403"/>
    <n v="319"/>
    <n v="450052"/>
    <n v="29.92120910472568"/>
    <n v="23428"/>
  </r>
  <r>
    <x v="3"/>
    <s v="2024-09-16"/>
    <x v="1"/>
    <n v="4292"/>
    <n v="367"/>
    <n v="453977"/>
    <n v="3.5037017293827661"/>
    <n v="53934"/>
  </r>
  <r>
    <x v="3"/>
    <s v="2024-09-23"/>
    <x v="0"/>
    <n v="1419"/>
    <n v="110"/>
    <n v="455286"/>
    <n v="31.554451487636339"/>
    <n v="58831"/>
  </r>
  <r>
    <x v="3"/>
    <s v="2024-09-23"/>
    <x v="1"/>
    <n v="5517"/>
    <n v="575"/>
    <n v="460228"/>
    <n v="29.45844233727631"/>
    <n v="20258"/>
  </r>
  <r>
    <x v="3"/>
    <s v="2024-09-23"/>
    <x v="0"/>
    <n v="4302"/>
    <n v="275"/>
    <n v="464255"/>
    <n v="15.72131694865968"/>
    <n v="26044"/>
  </r>
  <r>
    <x v="3"/>
    <s v="2024-09-23"/>
    <x v="0"/>
    <n v="8857"/>
    <n v="1153"/>
    <n v="471959"/>
    <n v="19.214592793018038"/>
    <n v="39411"/>
  </r>
  <r>
    <x v="3"/>
    <s v="2024-09-30"/>
    <x v="0"/>
    <n v="8870"/>
    <n v="509"/>
    <n v="480320"/>
    <n v="25.077864756828781"/>
    <n v="15469"/>
  </r>
  <r>
    <x v="3"/>
    <s v="2024-09-30"/>
    <x v="1"/>
    <n v="6693"/>
    <n v="995"/>
    <n v="486018"/>
    <n v="23.761877132122681"/>
    <n v="38854"/>
  </r>
  <r>
    <x v="3"/>
    <s v="2024-09-30"/>
    <x v="0"/>
    <n v="1767"/>
    <n v="224"/>
    <n v="487561"/>
    <n v="13.208603641390511"/>
    <n v="16256"/>
  </r>
  <r>
    <x v="3"/>
    <s v="2024-09-30"/>
    <x v="1"/>
    <n v="3044"/>
    <n v="212"/>
    <n v="490393"/>
    <n v="8.5343795690395261"/>
    <n v="20720"/>
  </r>
  <r>
    <x v="4"/>
    <s v="2024-10-07"/>
    <x v="3"/>
    <n v="2549"/>
    <n v="128"/>
    <n v="492814"/>
    <n v="12.734216154573531"/>
    <n v="43937"/>
  </r>
  <r>
    <x v="4"/>
    <s v="2024-10-07"/>
    <x v="2"/>
    <n v="7140"/>
    <n v="939"/>
    <n v="499015"/>
    <n v="25.120888149654821"/>
    <n v="43598"/>
  </r>
  <r>
    <x v="4"/>
    <s v="2024-10-07"/>
    <x v="2"/>
    <n v="4716"/>
    <n v="569"/>
    <n v="503162"/>
    <n v="25.64820077827817"/>
    <n v="11651"/>
  </r>
  <r>
    <x v="4"/>
    <s v="2024-10-07"/>
    <x v="0"/>
    <n v="5481"/>
    <n v="673"/>
    <n v="507970"/>
    <n v="13.08758391243577"/>
    <n v="29194"/>
  </r>
  <r>
    <x v="4"/>
    <s v="2024-10-14"/>
    <x v="1"/>
    <n v="8898"/>
    <n v="1131"/>
    <n v="515737"/>
    <n v="2.1877429775253669"/>
    <n v="35051"/>
  </r>
  <r>
    <x v="4"/>
    <s v="2024-10-14"/>
    <x v="2"/>
    <n v="7548"/>
    <n v="433"/>
    <n v="522852"/>
    <n v="8.3562843787534522"/>
    <n v="37386"/>
  </r>
  <r>
    <x v="4"/>
    <s v="2024-10-14"/>
    <x v="1"/>
    <n v="3293"/>
    <n v="282"/>
    <n v="525863"/>
    <n v="27.040693108281051"/>
    <n v="19518"/>
  </r>
  <r>
    <x v="4"/>
    <s v="2024-10-14"/>
    <x v="1"/>
    <n v="5837"/>
    <n v="359"/>
    <n v="531341"/>
    <n v="6.8073045370110723"/>
    <n v="56026"/>
  </r>
  <r>
    <x v="4"/>
    <s v="2024-10-21"/>
    <x v="0"/>
    <n v="8758"/>
    <n v="1193"/>
    <n v="538906"/>
    <n v="3.4213758985797149"/>
    <n v="26184"/>
  </r>
  <r>
    <x v="4"/>
    <s v="2024-10-21"/>
    <x v="2"/>
    <n v="7793"/>
    <n v="875"/>
    <n v="545824"/>
    <n v="5.5136820660139527"/>
    <n v="43787"/>
  </r>
  <r>
    <x v="4"/>
    <s v="2024-10-21"/>
    <x v="0"/>
    <n v="8638"/>
    <n v="717"/>
    <n v="553745"/>
    <n v="26.921416897669499"/>
    <n v="31621"/>
  </r>
  <r>
    <x v="4"/>
    <s v="2024-10-21"/>
    <x v="0"/>
    <n v="8993"/>
    <n v="506"/>
    <n v="562232"/>
    <n v="3.5131404829323132"/>
    <n v="20028"/>
  </r>
  <r>
    <x v="4"/>
    <s v="2024-10-28"/>
    <x v="2"/>
    <n v="7007"/>
    <n v="568"/>
    <n v="568671"/>
    <n v="11.50507059442103"/>
    <n v="22448"/>
  </r>
  <r>
    <x v="4"/>
    <s v="2024-10-28"/>
    <x v="2"/>
    <n v="6542"/>
    <n v="539"/>
    <n v="574674"/>
    <n v="6.4069368024305948"/>
    <n v="55253"/>
  </r>
  <r>
    <x v="4"/>
    <s v="2024-10-28"/>
    <x v="3"/>
    <n v="7356"/>
    <n v="904"/>
    <n v="581126"/>
    <n v="17.560907617280929"/>
    <n v="44051"/>
  </r>
  <r>
    <x v="4"/>
    <s v="2024-10-28"/>
    <x v="3"/>
    <n v="9433"/>
    <n v="1073"/>
    <n v="589486"/>
    <n v="7.2934726185185053"/>
    <n v="59811"/>
  </r>
  <r>
    <x v="5"/>
    <s v="2024-11-04"/>
    <x v="1"/>
    <n v="8380"/>
    <n v="1162"/>
    <n v="596704"/>
    <n v="18.05853488496809"/>
    <n v="40447"/>
  </r>
  <r>
    <x v="5"/>
    <s v="2024-11-04"/>
    <x v="2"/>
    <n v="3385"/>
    <n v="329"/>
    <n v="599760"/>
    <n v="17.61788048552755"/>
    <n v="28394"/>
  </r>
  <r>
    <x v="5"/>
    <s v="2024-11-04"/>
    <x v="3"/>
    <n v="5268"/>
    <n v="326"/>
    <n v="604702"/>
    <n v="23.435841125050029"/>
    <n v="44501"/>
  </r>
  <r>
    <x v="5"/>
    <s v="2024-11-04"/>
    <x v="1"/>
    <n v="1671"/>
    <n v="202"/>
    <n v="606171"/>
    <n v="15.150015424690389"/>
    <n v="40254"/>
  </r>
  <r>
    <x v="5"/>
    <s v="2024-11-11"/>
    <x v="1"/>
    <n v="1163"/>
    <n v="146"/>
    <n v="607188"/>
    <n v="21.77776899411715"/>
    <n v="28509"/>
  </r>
  <r>
    <x v="5"/>
    <s v="2024-11-11"/>
    <x v="1"/>
    <n v="9656"/>
    <n v="1024"/>
    <n v="615820"/>
    <n v="8.7252768666168681"/>
    <n v="58998"/>
  </r>
  <r>
    <x v="5"/>
    <s v="2024-11-11"/>
    <x v="3"/>
    <n v="5592"/>
    <n v="710"/>
    <n v="620702"/>
    <n v="9.07118069540617"/>
    <n v="24472"/>
  </r>
  <r>
    <x v="5"/>
    <s v="2024-11-11"/>
    <x v="2"/>
    <n v="5795"/>
    <n v="575"/>
    <n v="625922"/>
    <n v="3.0908004511744269"/>
    <n v="55657"/>
  </r>
  <r>
    <x v="5"/>
    <s v="2024-11-18"/>
    <x v="0"/>
    <n v="5798"/>
    <n v="592"/>
    <n v="631128"/>
    <n v="1.6774727155188811"/>
    <n v="13471"/>
  </r>
  <r>
    <x v="5"/>
    <s v="2024-11-18"/>
    <x v="1"/>
    <n v="7036"/>
    <n v="652"/>
    <n v="637512"/>
    <n v="3.5705994553828009"/>
    <n v="51796"/>
  </r>
  <r>
    <x v="5"/>
    <s v="2024-11-18"/>
    <x v="3"/>
    <n v="3355"/>
    <n v="176"/>
    <n v="640691"/>
    <n v="12.426427091999111"/>
    <n v="40268"/>
  </r>
  <r>
    <x v="5"/>
    <s v="2024-11-18"/>
    <x v="3"/>
    <n v="6887"/>
    <n v="418"/>
    <n v="647160"/>
    <n v="20.240280610668151"/>
    <n v="18329"/>
  </r>
  <r>
    <x v="5"/>
    <s v="2024-11-25"/>
    <x v="0"/>
    <n v="8961"/>
    <n v="476"/>
    <n v="655645"/>
    <n v="15.458517947974901"/>
    <n v="44865"/>
  </r>
  <r>
    <x v="5"/>
    <s v="2024-11-25"/>
    <x v="0"/>
    <n v="6827"/>
    <n v="775"/>
    <n v="661697"/>
    <n v="15.96622018839439"/>
    <n v="56850"/>
  </r>
  <r>
    <x v="5"/>
    <s v="2024-11-25"/>
    <x v="3"/>
    <n v="9737"/>
    <n v="792"/>
    <n v="670642"/>
    <n v="5.301785453341723"/>
    <n v="56698"/>
  </r>
  <r>
    <x v="5"/>
    <s v="2024-11-25"/>
    <x v="2"/>
    <n v="5719"/>
    <n v="576"/>
    <n v="675785"/>
    <n v="10.21656296011305"/>
    <n v="38272"/>
  </r>
  <r>
    <x v="6"/>
    <s v="2024-12-02"/>
    <x v="0"/>
    <n v="1593"/>
    <n v="224"/>
    <n v="677154"/>
    <n v="4.1495730660972248"/>
    <n v="52845"/>
  </r>
  <r>
    <x v="6"/>
    <s v="2024-12-02"/>
    <x v="3"/>
    <n v="5839"/>
    <n v="437"/>
    <n v="682556"/>
    <n v="17.44750613869045"/>
    <n v="16397"/>
  </r>
  <r>
    <x v="6"/>
    <s v="2024-12-02"/>
    <x v="0"/>
    <n v="8394"/>
    <n v="764"/>
    <n v="690186"/>
    <n v="6.3556780346167558"/>
    <n v="42373"/>
  </r>
  <r>
    <x v="6"/>
    <s v="2024-12-02"/>
    <x v="2"/>
    <n v="4493"/>
    <n v="564"/>
    <n v="694115"/>
    <n v="16.625487131094989"/>
    <n v="45525"/>
  </r>
  <r>
    <x v="6"/>
    <s v="2024-12-09"/>
    <x v="1"/>
    <n v="7164"/>
    <n v="522"/>
    <n v="700757"/>
    <n v="13.449169969047761"/>
    <n v="34570"/>
  </r>
  <r>
    <x v="6"/>
    <s v="2024-12-09"/>
    <x v="0"/>
    <n v="3672"/>
    <n v="211"/>
    <n v="704218"/>
    <n v="12.35057894004413"/>
    <n v="28284"/>
  </r>
  <r>
    <x v="6"/>
    <s v="2024-12-09"/>
    <x v="2"/>
    <n v="5200"/>
    <n v="410"/>
    <n v="709008"/>
    <n v="12.913394489201821"/>
    <n v="28994"/>
  </r>
  <r>
    <x v="6"/>
    <s v="2024-12-09"/>
    <x v="3"/>
    <n v="1016"/>
    <n v="67"/>
    <n v="709957"/>
    <n v="20.774215903216671"/>
    <n v="33284"/>
  </r>
  <r>
    <x v="6"/>
    <s v="2024-12-16"/>
    <x v="0"/>
    <n v="4191"/>
    <n v="599"/>
    <n v="713549"/>
    <n v="11.56416728213479"/>
    <n v="27833"/>
  </r>
  <r>
    <x v="6"/>
    <s v="2024-12-16"/>
    <x v="0"/>
    <n v="1392"/>
    <n v="182"/>
    <n v="714759"/>
    <n v="5.9603306848881932"/>
    <n v="35122"/>
  </r>
  <r>
    <x v="6"/>
    <s v="2024-12-16"/>
    <x v="3"/>
    <n v="9616"/>
    <n v="1089"/>
    <n v="723286"/>
    <n v="19.25863351426683"/>
    <n v="15017"/>
  </r>
  <r>
    <x v="6"/>
    <s v="2024-12-16"/>
    <x v="1"/>
    <n v="7272"/>
    <n v="997"/>
    <n v="729561"/>
    <n v="13.428486445958599"/>
    <n v="26370"/>
  </r>
  <r>
    <x v="6"/>
    <s v="2024-12-23"/>
    <x v="3"/>
    <n v="1571"/>
    <n v="204"/>
    <n v="730928"/>
    <n v="19.449384891535139"/>
    <n v="39252"/>
  </r>
  <r>
    <x v="6"/>
    <s v="2024-12-23"/>
    <x v="0"/>
    <n v="4631"/>
    <n v="317"/>
    <n v="735242"/>
    <n v="1.381177897889402"/>
    <n v="17999"/>
  </r>
  <r>
    <x v="6"/>
    <s v="2024-12-23"/>
    <x v="3"/>
    <n v="7172"/>
    <n v="998"/>
    <n v="741416"/>
    <n v="18.0667803230575"/>
    <n v="32436"/>
  </r>
  <r>
    <x v="6"/>
    <s v="2024-12-23"/>
    <x v="2"/>
    <n v="8177"/>
    <n v="849"/>
    <n v="748744"/>
    <n v="10.34986590877523"/>
    <n v="52963"/>
  </r>
  <r>
    <x v="6"/>
    <s v="2024-12-30"/>
    <x v="3"/>
    <n v="9433"/>
    <n v="1233"/>
    <n v="756944"/>
    <n v="11.391727789638329"/>
    <n v="12096"/>
  </r>
  <r>
    <x v="6"/>
    <s v="2024-12-30"/>
    <x v="0"/>
    <n v="4897"/>
    <n v="683"/>
    <n v="761158"/>
    <n v="15.06231294947961"/>
    <n v="58201"/>
  </r>
  <r>
    <x v="6"/>
    <s v="2024-12-30"/>
    <x v="3"/>
    <n v="9123"/>
    <n v="746"/>
    <n v="769535"/>
    <n v="6.3086149427901264"/>
    <n v="35279"/>
  </r>
  <r>
    <x v="6"/>
    <s v="2024-12-30"/>
    <x v="1"/>
    <n v="3279"/>
    <n v="200"/>
    <n v="772614"/>
    <n v="5.0212654702089274"/>
    <n v="53363"/>
  </r>
  <r>
    <x v="7"/>
    <s v="2025-01-06"/>
    <x v="3"/>
    <n v="9980"/>
    <n v="726"/>
    <n v="781868"/>
    <n v="4.0220344099003924"/>
    <n v="58709"/>
  </r>
  <r>
    <x v="7"/>
    <s v="2025-01-06"/>
    <x v="1"/>
    <n v="8451"/>
    <n v="783"/>
    <n v="789536"/>
    <n v="12.407287318121019"/>
    <n v="36201"/>
  </r>
  <r>
    <x v="7"/>
    <s v="2025-01-06"/>
    <x v="2"/>
    <n v="9906"/>
    <n v="1305"/>
    <n v="798137"/>
    <n v="9.1811305577864442"/>
    <n v="29715"/>
  </r>
  <r>
    <x v="7"/>
    <s v="2025-01-06"/>
    <x v="1"/>
    <n v="1775"/>
    <n v="241"/>
    <n v="799671"/>
    <n v="8.1379717408784362"/>
    <n v="39309"/>
  </r>
  <r>
    <x v="7"/>
    <s v="2025-01-13"/>
    <x v="3"/>
    <n v="7869"/>
    <n v="398"/>
    <n v="807142"/>
    <n v="15.211945357818079"/>
    <n v="25078"/>
  </r>
  <r>
    <x v="7"/>
    <s v="2025-01-13"/>
    <x v="0"/>
    <n v="3247"/>
    <n v="328"/>
    <n v="810061"/>
    <n v="13.941172331466399"/>
    <n v="15105"/>
  </r>
  <r>
    <x v="7"/>
    <s v="2025-01-13"/>
    <x v="1"/>
    <n v="8088"/>
    <n v="742"/>
    <n v="817407"/>
    <n v="14.664542877660701"/>
    <n v="39312"/>
  </r>
  <r>
    <x v="7"/>
    <s v="2025-01-13"/>
    <x v="2"/>
    <n v="1078"/>
    <n v="77"/>
    <n v="818408"/>
    <n v="18.236747441373989"/>
    <n v="12839"/>
  </r>
  <r>
    <x v="7"/>
    <s v="2025-01-20"/>
    <x v="1"/>
    <n v="9080"/>
    <n v="562"/>
    <n v="826926"/>
    <n v="7.1083748727213809"/>
    <n v="13384"/>
  </r>
  <r>
    <x v="7"/>
    <s v="2025-01-20"/>
    <x v="1"/>
    <n v="8099"/>
    <n v="678"/>
    <n v="834347"/>
    <n v="7.6464588474579518"/>
    <n v="53619"/>
  </r>
  <r>
    <x v="7"/>
    <s v="2025-01-20"/>
    <x v="1"/>
    <n v="4926"/>
    <n v="710"/>
    <n v="838563"/>
    <n v="12.96217457722318"/>
    <n v="52821"/>
  </r>
  <r>
    <x v="7"/>
    <s v="2025-01-20"/>
    <x v="2"/>
    <n v="8340"/>
    <n v="686"/>
    <n v="846217"/>
    <n v="7.201344336027284"/>
    <n v="23493"/>
  </r>
  <r>
    <x v="7"/>
    <s v="2025-01-27"/>
    <x v="3"/>
    <n v="8083"/>
    <n v="823"/>
    <n v="853477"/>
    <n v="4.6300017457998282"/>
    <n v="27069"/>
  </r>
  <r>
    <x v="7"/>
    <s v="2025-01-27"/>
    <x v="1"/>
    <n v="7230"/>
    <n v="869"/>
    <n v="859838"/>
    <n v="7.0117859410726204"/>
    <n v="56907"/>
  </r>
  <r>
    <x v="7"/>
    <s v="2025-01-27"/>
    <x v="1"/>
    <n v="5940"/>
    <n v="512"/>
    <n v="865266"/>
    <n v="15.7972230504839"/>
    <n v="17531"/>
  </r>
  <r>
    <x v="7"/>
    <s v="2025-01-27"/>
    <x v="0"/>
    <n v="4271"/>
    <n v="628"/>
    <n v="868909"/>
    <n v="11.124410036033691"/>
    <n v="47051"/>
  </r>
  <r>
    <x v="8"/>
    <s v="2025-02-03"/>
    <x v="2"/>
    <n v="4456"/>
    <n v="651"/>
    <n v="872714"/>
    <n v="9.5052903929580594"/>
    <n v="17736"/>
  </r>
  <r>
    <x v="8"/>
    <s v="2025-02-03"/>
    <x v="1"/>
    <n v="8788"/>
    <n v="660"/>
    <n v="880842"/>
    <n v="3.7175793161543158"/>
    <n v="17710"/>
  </r>
  <r>
    <x v="8"/>
    <s v="2025-02-03"/>
    <x v="2"/>
    <n v="9599"/>
    <n v="957"/>
    <n v="889484"/>
    <n v="8.768004820772493"/>
    <n v="11619"/>
  </r>
  <r>
    <x v="8"/>
    <s v="2025-02-03"/>
    <x v="1"/>
    <n v="8650"/>
    <n v="692"/>
    <n v="897442"/>
    <n v="7.6673478620345374"/>
    <n v="23975"/>
  </r>
  <r>
    <x v="8"/>
    <s v="2025-02-10"/>
    <x v="3"/>
    <n v="3711"/>
    <n v="291"/>
    <n v="900862"/>
    <n v="14.24879726306582"/>
    <n v="55603"/>
  </r>
  <r>
    <x v="8"/>
    <s v="2025-02-10"/>
    <x v="3"/>
    <n v="2668"/>
    <n v="143"/>
    <n v="903387"/>
    <n v="15.903372530266649"/>
    <n v="33252"/>
  </r>
  <r>
    <x v="8"/>
    <s v="2025-02-10"/>
    <x v="1"/>
    <n v="1147"/>
    <n v="127"/>
    <n v="904407"/>
    <n v="1.3997016829812241"/>
    <n v="25261"/>
  </r>
  <r>
    <x v="8"/>
    <s v="2025-02-10"/>
    <x v="3"/>
    <n v="7420"/>
    <n v="743"/>
    <n v="911084"/>
    <n v="10.593534734448189"/>
    <n v="11431"/>
  </r>
  <r>
    <x v="8"/>
    <s v="2025-02-17"/>
    <x v="1"/>
    <n v="1365"/>
    <n v="75"/>
    <n v="912374"/>
    <n v="9.2688963078737441"/>
    <n v="19067"/>
  </r>
  <r>
    <x v="8"/>
    <s v="2025-02-17"/>
    <x v="3"/>
    <n v="5531"/>
    <n v="430"/>
    <n v="917475"/>
    <n v="2.7289026948963189"/>
    <n v="47481"/>
  </r>
  <r>
    <x v="8"/>
    <s v="2025-02-17"/>
    <x v="0"/>
    <n v="6330"/>
    <n v="891"/>
    <n v="922914"/>
    <n v="14.789893749580139"/>
    <n v="37037"/>
  </r>
  <r>
    <x v="8"/>
    <s v="2025-02-17"/>
    <x v="0"/>
    <n v="6510"/>
    <n v="481"/>
    <n v="928943"/>
    <n v="2.3800168578696428"/>
    <n v="19557"/>
  </r>
  <r>
    <x v="8"/>
    <s v="2025-02-24"/>
    <x v="0"/>
    <n v="9754"/>
    <n v="629"/>
    <n v="938068"/>
    <n v="3.4123325814333292"/>
    <n v="19435"/>
  </r>
  <r>
    <x v="8"/>
    <s v="2025-02-24"/>
    <x v="2"/>
    <n v="9964"/>
    <n v="985"/>
    <n v="947047"/>
    <n v="1.9837452629066989"/>
    <n v="47766"/>
  </r>
  <r>
    <x v="8"/>
    <s v="2025-02-24"/>
    <x v="2"/>
    <n v="7493"/>
    <n v="1113"/>
    <n v="953427"/>
    <n v="15.684892498324469"/>
    <n v="10162"/>
  </r>
  <r>
    <x v="8"/>
    <s v="2025-02-24"/>
    <x v="0"/>
    <n v="6439"/>
    <n v="477"/>
    <n v="959389"/>
    <n v="7.4744446725989153"/>
    <n v="44742"/>
  </r>
  <r>
    <x v="9"/>
    <s v="2025-03-03"/>
    <x v="2"/>
    <n v="7511"/>
    <n v="880"/>
    <n v="966020"/>
    <n v="4.6083932009689246"/>
    <n v="29675"/>
  </r>
  <r>
    <x v="9"/>
    <s v="2025-03-03"/>
    <x v="3"/>
    <n v="8504"/>
    <n v="1072"/>
    <n v="973452"/>
    <n v="6.5651927367759271"/>
    <n v="18461"/>
  </r>
  <r>
    <x v="9"/>
    <s v="2025-03-03"/>
    <x v="1"/>
    <n v="2246"/>
    <n v="165"/>
    <n v="975533"/>
    <n v="2.9062061457685191"/>
    <n v="27015"/>
  </r>
  <r>
    <x v="9"/>
    <s v="2025-03-03"/>
    <x v="1"/>
    <n v="4839"/>
    <n v="594"/>
    <n v="979778"/>
    <n v="2.5803804535313102"/>
    <n v="42591"/>
  </r>
  <r>
    <x v="9"/>
    <s v="2025-03-10"/>
    <x v="1"/>
    <n v="9551"/>
    <n v="828"/>
    <n v="988501"/>
    <n v="1.525036393488727"/>
    <n v="38047"/>
  </r>
  <r>
    <x v="9"/>
    <s v="2025-03-10"/>
    <x v="0"/>
    <n v="3376"/>
    <n v="382"/>
    <n v="991495"/>
    <n v="3.8694093263203548"/>
    <n v="44782"/>
  </r>
  <r>
    <x v="9"/>
    <s v="2025-03-10"/>
    <x v="2"/>
    <n v="4009"/>
    <n v="454"/>
    <n v="995050"/>
    <n v="2.1106477061454201"/>
    <n v="19833"/>
  </r>
  <r>
    <x v="9"/>
    <s v="2025-03-10"/>
    <x v="3"/>
    <n v="2827"/>
    <n v="292"/>
    <n v="997585"/>
    <n v="2.4004972007397871"/>
    <n v="17896"/>
  </r>
  <r>
    <x v="9"/>
    <s v="2025-03-17"/>
    <x v="3"/>
    <n v="7979"/>
    <n v="470"/>
    <n v="1005094"/>
    <n v="10.43086517280971"/>
    <n v="42972"/>
  </r>
  <r>
    <x v="9"/>
    <s v="2025-03-17"/>
    <x v="0"/>
    <n v="9569"/>
    <n v="1277"/>
    <n v="1013386"/>
    <n v="12.45517502708741"/>
    <n v="59733"/>
  </r>
  <r>
    <x v="9"/>
    <s v="2025-03-17"/>
    <x v="3"/>
    <n v="5285"/>
    <n v="433"/>
    <n v="1018238"/>
    <n v="8.7022876773406619"/>
    <n v="51800"/>
  </r>
  <r>
    <x v="9"/>
    <s v="2025-03-17"/>
    <x v="3"/>
    <n v="7910"/>
    <n v="543"/>
    <n v="1025605"/>
    <n v="6.0590578244060822"/>
    <n v="40508"/>
  </r>
  <r>
    <x v="9"/>
    <s v="2025-03-24"/>
    <x v="3"/>
    <n v="9561"/>
    <n v="517"/>
    <n v="1034649"/>
    <n v="6.4086467971263694"/>
    <n v="15347"/>
  </r>
  <r>
    <x v="9"/>
    <s v="2025-03-24"/>
    <x v="3"/>
    <n v="3196"/>
    <n v="348"/>
    <n v="1037497"/>
    <n v="14.03040201562029"/>
    <n v="40314"/>
  </r>
  <r>
    <x v="9"/>
    <s v="2025-03-24"/>
    <x v="2"/>
    <n v="4747"/>
    <n v="558"/>
    <n v="1041686"/>
    <n v="5.7680529449373434"/>
    <n v="12643"/>
  </r>
  <r>
    <x v="9"/>
    <s v="2025-03-24"/>
    <x v="3"/>
    <n v="9843"/>
    <n v="508"/>
    <n v="1051021"/>
    <n v="4.2080986012648651"/>
    <n v="50785"/>
  </r>
  <r>
    <x v="9"/>
    <s v="2025-03-31"/>
    <x v="1"/>
    <n v="6978"/>
    <n v="706"/>
    <n v="1057293"/>
    <n v="5.057443868445171"/>
    <n v="28681"/>
  </r>
  <r>
    <x v="9"/>
    <s v="2025-03-31"/>
    <x v="0"/>
    <n v="6607"/>
    <n v="479"/>
    <n v="1063421"/>
    <n v="5.5892257158735816"/>
    <n v="48328"/>
  </r>
  <r>
    <x v="9"/>
    <s v="2025-03-31"/>
    <x v="2"/>
    <n v="1769"/>
    <n v="202"/>
    <n v="1064988"/>
    <n v="6.5457075572682513"/>
    <n v="25892"/>
  </r>
  <r>
    <x v="9"/>
    <s v="2025-03-31"/>
    <x v="3"/>
    <n v="1780"/>
    <n v="120"/>
    <n v="1066648"/>
    <n v="13.86474263299608"/>
    <n v="57299"/>
  </r>
  <r>
    <x v="10"/>
    <s v="2025-04-07"/>
    <x v="2"/>
    <n v="7303"/>
    <n v="869"/>
    <n v="1073082"/>
    <n v="8.1237966902808925"/>
    <n v="27073"/>
  </r>
  <r>
    <x v="10"/>
    <s v="2025-04-07"/>
    <x v="3"/>
    <n v="4983"/>
    <n v="441"/>
    <n v="1077624"/>
    <n v="6.8954477628560609"/>
    <n v="46768"/>
  </r>
  <r>
    <x v="10"/>
    <s v="2025-04-07"/>
    <x v="1"/>
    <n v="9714"/>
    <n v="1395"/>
    <n v="1085943"/>
    <n v="5.2243073531483697"/>
    <n v="40682"/>
  </r>
  <r>
    <x v="10"/>
    <s v="2025-04-07"/>
    <x v="0"/>
    <n v="1521"/>
    <n v="96"/>
    <n v="1087368"/>
    <n v="12.709772588488899"/>
    <n v="42262"/>
  </r>
  <r>
    <x v="10"/>
    <s v="2025-04-14"/>
    <x v="3"/>
    <n v="8569"/>
    <n v="720"/>
    <n v="1095217"/>
    <n v="9.589697749395782"/>
    <n v="41358"/>
  </r>
  <r>
    <x v="10"/>
    <s v="2025-04-14"/>
    <x v="3"/>
    <n v="6784"/>
    <n v="416"/>
    <n v="1101585"/>
    <n v="9.3041390360253633"/>
    <n v="24289"/>
  </r>
  <r>
    <x v="10"/>
    <s v="2025-04-14"/>
    <x v="3"/>
    <n v="5583"/>
    <n v="795"/>
    <n v="1106373"/>
    <n v="12.21550055903389"/>
    <n v="59823"/>
  </r>
  <r>
    <x v="10"/>
    <s v="2025-04-14"/>
    <x v="3"/>
    <n v="6946"/>
    <n v="956"/>
    <n v="1112363"/>
    <n v="1.64146056637986"/>
    <n v="17927"/>
  </r>
  <r>
    <x v="10"/>
    <s v="2025-04-21"/>
    <x v="0"/>
    <n v="5941"/>
    <n v="450"/>
    <n v="1117854"/>
    <n v="12.414411899944"/>
    <n v="58330"/>
  </r>
  <r>
    <x v="10"/>
    <s v="2025-04-21"/>
    <x v="0"/>
    <n v="7267"/>
    <n v="842"/>
    <n v="1124279"/>
    <n v="2.2102165031989389"/>
    <n v="11171"/>
  </r>
  <r>
    <x v="10"/>
    <s v="2025-04-21"/>
    <x v="1"/>
    <n v="8128"/>
    <n v="1070"/>
    <n v="1131337"/>
    <n v="8.1114645768679008"/>
    <n v="21918"/>
  </r>
  <r>
    <x v="10"/>
    <s v="2025-04-21"/>
    <x v="0"/>
    <n v="3461"/>
    <n v="365"/>
    <n v="1134433"/>
    <n v="10.23489267325616"/>
    <n v="51903"/>
  </r>
  <r>
    <x v="10"/>
    <s v="2025-04-28"/>
    <x v="3"/>
    <n v="1685"/>
    <n v="173"/>
    <n v="1135945"/>
    <n v="8.7776256772995165"/>
    <n v="49110"/>
  </r>
  <r>
    <x v="10"/>
    <s v="2025-04-28"/>
    <x v="1"/>
    <n v="3160"/>
    <n v="234"/>
    <n v="1138871"/>
    <n v="5.6959041015180816"/>
    <n v="21929"/>
  </r>
  <r>
    <x v="10"/>
    <s v="2025-04-28"/>
    <x v="1"/>
    <n v="8031"/>
    <n v="476"/>
    <n v="1146426"/>
    <n v="11.940413075069831"/>
    <n v="12539"/>
  </r>
  <r>
    <x v="10"/>
    <s v="2025-04-28"/>
    <x v="1"/>
    <n v="6341"/>
    <n v="885"/>
    <n v="1151882"/>
    <n v="6.3457020771224837"/>
    <n v="46727"/>
  </r>
  <r>
    <x v="11"/>
    <s v="2025-05-05"/>
    <x v="3"/>
    <n v="1038"/>
    <n v="145"/>
    <n v="1152775"/>
    <n v="11.093752033137431"/>
    <n v="55951"/>
  </r>
  <r>
    <x v="11"/>
    <s v="2025-05-05"/>
    <x v="2"/>
    <n v="5875"/>
    <n v="665"/>
    <n v="1157985"/>
    <n v="6.9871371390821126"/>
    <n v="32669"/>
  </r>
  <r>
    <x v="11"/>
    <s v="2025-05-05"/>
    <x v="3"/>
    <n v="2256"/>
    <n v="189"/>
    <n v="1160052"/>
    <n v="2.8935771844710412"/>
    <n v="15432"/>
  </r>
  <r>
    <x v="11"/>
    <s v="2025-05-05"/>
    <x v="0"/>
    <n v="8697"/>
    <n v="738"/>
    <n v="1168011"/>
    <n v="3.8777032065622672"/>
    <n v="30644"/>
  </r>
  <r>
    <x v="11"/>
    <s v="2025-05-12"/>
    <x v="0"/>
    <n v="3196"/>
    <n v="391"/>
    <n v="1170816"/>
    <n v="7.2439221876024931"/>
    <n v="28745"/>
  </r>
  <r>
    <x v="11"/>
    <s v="2025-05-12"/>
    <x v="3"/>
    <n v="8165"/>
    <n v="1140"/>
    <n v="1177841"/>
    <n v="9.095964565675672"/>
    <n v="38228"/>
  </r>
  <r>
    <x v="11"/>
    <s v="2025-05-12"/>
    <x v="3"/>
    <n v="1301"/>
    <n v="180"/>
    <n v="1178962"/>
    <n v="5.2275645864752214"/>
    <n v="44521"/>
  </r>
  <r>
    <x v="11"/>
    <s v="2025-05-12"/>
    <x v="1"/>
    <n v="8527"/>
    <n v="1091"/>
    <n v="1186398"/>
    <n v="1.676081719625286"/>
    <n v="417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Jun"/>
    <s v="2024-06-03"/>
    <x v="0"/>
    <n v="4138"/>
    <n v="361"/>
    <n v="103777"/>
    <n v="56.637790647253247"/>
    <x v="0"/>
    <x v="0"/>
  </r>
  <r>
    <s v="Jun"/>
    <s v="2024-06-03"/>
    <x v="1"/>
    <n v="8693"/>
    <n v="1261"/>
    <n v="111209"/>
    <n v="69.475492091467416"/>
    <x v="1"/>
    <x v="1"/>
  </r>
  <r>
    <s v="Jun"/>
    <s v="2024-06-03"/>
    <x v="2"/>
    <n v="9264"/>
    <n v="1141"/>
    <n v="119332"/>
    <n v="92.312204605638044"/>
    <x v="2"/>
    <x v="2"/>
  </r>
  <r>
    <s v="Jun"/>
    <s v="2024-06-03"/>
    <x v="2"/>
    <n v="8842"/>
    <n v="971"/>
    <n v="127203"/>
    <n v="16.351815601833291"/>
    <x v="3"/>
    <x v="3"/>
  </r>
  <r>
    <s v="Jun"/>
    <s v="2024-06-10"/>
    <x v="0"/>
    <n v="7721"/>
    <n v="506"/>
    <n v="134418"/>
    <n v="35.577824398518047"/>
    <x v="4"/>
    <x v="4"/>
  </r>
  <r>
    <s v="Jun"/>
    <s v="2024-06-10"/>
    <x v="2"/>
    <n v="8002"/>
    <n v="524"/>
    <n v="141896"/>
    <n v="52.064892597395271"/>
    <x v="5"/>
    <x v="5"/>
  </r>
  <r>
    <s v="Jun"/>
    <s v="2024-06-10"/>
    <x v="1"/>
    <n v="5225"/>
    <n v="291"/>
    <n v="146830"/>
    <n v="19.551862698358651"/>
    <x v="6"/>
    <x v="6"/>
  </r>
  <r>
    <s v="Jun"/>
    <s v="2024-06-10"/>
    <x v="1"/>
    <n v="3978"/>
    <n v="543"/>
    <n v="150265"/>
    <n v="49.159817655475329"/>
    <x v="7"/>
    <x v="7"/>
  </r>
  <r>
    <s v="Jun"/>
    <s v="2024-06-17"/>
    <x v="0"/>
    <n v="8373"/>
    <n v="921"/>
    <n v="157717"/>
    <n v="12.2263294381709"/>
    <x v="8"/>
    <x v="8"/>
  </r>
  <r>
    <s v="Jun"/>
    <s v="2024-06-17"/>
    <x v="1"/>
    <n v="6907"/>
    <n v="834"/>
    <n v="163790"/>
    <n v="54.158984064961238"/>
    <x v="9"/>
    <x v="9"/>
  </r>
  <r>
    <s v="Jun"/>
    <s v="2024-06-17"/>
    <x v="3"/>
    <n v="7097"/>
    <n v="369"/>
    <n v="170518"/>
    <n v="9.2506362964613711"/>
    <x v="10"/>
    <x v="10"/>
  </r>
  <r>
    <s v="Jun"/>
    <s v="2024-06-17"/>
    <x v="0"/>
    <n v="6656"/>
    <n v="978"/>
    <n v="176196"/>
    <n v="60.425889350496043"/>
    <x v="11"/>
    <x v="11"/>
  </r>
  <r>
    <s v="Jun"/>
    <s v="2024-06-24"/>
    <x v="1"/>
    <n v="9984"/>
    <n v="1330"/>
    <n v="184850"/>
    <n v="57.524479307546663"/>
    <x v="12"/>
    <x v="12"/>
  </r>
  <r>
    <s v="Jun"/>
    <s v="2024-06-24"/>
    <x v="0"/>
    <n v="5259"/>
    <n v="374"/>
    <n v="189735"/>
    <n v="14.827522597306769"/>
    <x v="13"/>
    <x v="13"/>
  </r>
  <r>
    <s v="Jun"/>
    <s v="2024-06-24"/>
    <x v="2"/>
    <n v="9286"/>
    <n v="633"/>
    <n v="198388"/>
    <n v="5.4343004617214756"/>
    <x v="14"/>
    <x v="14"/>
  </r>
  <r>
    <s v="Jun"/>
    <s v="2024-06-24"/>
    <x v="1"/>
    <n v="6901"/>
    <n v="471"/>
    <n v="204818"/>
    <n v="60.827661631301943"/>
    <x v="15"/>
    <x v="15"/>
  </r>
  <r>
    <s v="Jul"/>
    <s v="2024-07-01"/>
    <x v="3"/>
    <n v="5917"/>
    <n v="475"/>
    <n v="210260"/>
    <n v="17.894035955483691"/>
    <x v="16"/>
    <x v="16"/>
  </r>
  <r>
    <s v="Jul"/>
    <s v="2024-07-01"/>
    <x v="1"/>
    <n v="9429"/>
    <n v="966"/>
    <n v="218723"/>
    <n v="7.6914636320825887"/>
    <x v="17"/>
    <x v="17"/>
  </r>
  <r>
    <s v="Jul"/>
    <s v="2024-07-01"/>
    <x v="0"/>
    <n v="3530"/>
    <n v="328"/>
    <n v="221925"/>
    <n v="12.8372197814577"/>
    <x v="18"/>
    <x v="18"/>
  </r>
  <r>
    <s v="Jul"/>
    <s v="2024-07-01"/>
    <x v="0"/>
    <n v="2960"/>
    <n v="234"/>
    <n v="224651"/>
    <n v="17.41278694508371"/>
    <x v="19"/>
    <x v="19"/>
  </r>
  <r>
    <s v="Jul"/>
    <s v="2024-07-08"/>
    <x v="1"/>
    <n v="8045"/>
    <n v="894"/>
    <n v="231802"/>
    <n v="47.634187798207087"/>
    <x v="20"/>
    <x v="20"/>
  </r>
  <r>
    <s v="Jul"/>
    <s v="2024-07-08"/>
    <x v="3"/>
    <n v="2048"/>
    <n v="130"/>
    <n v="233720"/>
    <n v="39.284614068115687"/>
    <x v="21"/>
    <x v="21"/>
  </r>
  <r>
    <s v="Jul"/>
    <s v="2024-07-08"/>
    <x v="3"/>
    <n v="6772"/>
    <n v="536"/>
    <n v="239956"/>
    <n v="9.8205504342462788"/>
    <x v="22"/>
    <x v="22"/>
  </r>
  <r>
    <s v="Jul"/>
    <s v="2024-07-08"/>
    <x v="3"/>
    <n v="3529"/>
    <n v="305"/>
    <n v="243180"/>
    <n v="41.606628834608109"/>
    <x v="23"/>
    <x v="23"/>
  </r>
  <r>
    <s v="Jul"/>
    <s v="2024-07-15"/>
    <x v="0"/>
    <n v="3964"/>
    <n v="378"/>
    <n v="246766"/>
    <n v="13.6355899921383"/>
    <x v="24"/>
    <x v="24"/>
  </r>
  <r>
    <s v="Jul"/>
    <s v="2024-07-15"/>
    <x v="1"/>
    <n v="8137"/>
    <n v="1045"/>
    <n v="253858"/>
    <n v="20.47246886054408"/>
    <x v="25"/>
    <x v="25"/>
  </r>
  <r>
    <s v="Jul"/>
    <s v="2024-07-15"/>
    <x v="2"/>
    <n v="1963"/>
    <n v="137"/>
    <n v="255684"/>
    <n v="11.2083665774941"/>
    <x v="26"/>
    <x v="26"/>
  </r>
  <r>
    <s v="Jul"/>
    <s v="2024-07-15"/>
    <x v="0"/>
    <n v="1536"/>
    <n v="155"/>
    <n v="257065"/>
    <n v="12.15762550327738"/>
    <x v="27"/>
    <x v="27"/>
  </r>
  <r>
    <s v="Jul"/>
    <s v="2024-07-22"/>
    <x v="3"/>
    <n v="8340"/>
    <n v="911"/>
    <n v="264494"/>
    <n v="37.302925586213682"/>
    <x v="28"/>
    <x v="28"/>
  </r>
  <r>
    <s v="Jul"/>
    <s v="2024-07-22"/>
    <x v="1"/>
    <n v="8179"/>
    <n v="446"/>
    <n v="272227"/>
    <n v="41.82171496581897"/>
    <x v="29"/>
    <x v="29"/>
  </r>
  <r>
    <s v="Jul"/>
    <s v="2024-07-22"/>
    <x v="3"/>
    <n v="8967"/>
    <n v="993"/>
    <n v="280201"/>
    <n v="52.792102811910027"/>
    <x v="30"/>
    <x v="30"/>
  </r>
  <r>
    <s v="Jul"/>
    <s v="2024-07-22"/>
    <x v="2"/>
    <n v="9734"/>
    <n v="652"/>
    <n v="289283"/>
    <n v="49.647922622483861"/>
    <x v="4"/>
    <x v="31"/>
  </r>
  <r>
    <s v="Jul"/>
    <s v="2024-07-29"/>
    <x v="3"/>
    <n v="1845"/>
    <n v="104"/>
    <n v="291024"/>
    <n v="28.158158777282971"/>
    <x v="31"/>
    <x v="32"/>
  </r>
  <r>
    <s v="Jul"/>
    <s v="2024-07-29"/>
    <x v="3"/>
    <n v="6777"/>
    <n v="981"/>
    <n v="296820"/>
    <n v="23.920557913887201"/>
    <x v="32"/>
    <x v="33"/>
  </r>
  <r>
    <s v="Jul"/>
    <s v="2024-07-29"/>
    <x v="2"/>
    <n v="4036"/>
    <n v="591"/>
    <n v="300265"/>
    <n v="44.219272975538267"/>
    <x v="33"/>
    <x v="34"/>
  </r>
  <r>
    <s v="Jul"/>
    <s v="2024-07-29"/>
    <x v="1"/>
    <n v="6947"/>
    <n v="908"/>
    <n v="306304"/>
    <n v="14.117673944839121"/>
    <x v="34"/>
    <x v="35"/>
  </r>
  <r>
    <s v="Aug"/>
    <s v="2024-08-05"/>
    <x v="0"/>
    <n v="3494"/>
    <n v="281"/>
    <n v="309517"/>
    <n v="27.765518533715429"/>
    <x v="35"/>
    <x v="36"/>
  </r>
  <r>
    <s v="Aug"/>
    <s v="2024-08-05"/>
    <x v="1"/>
    <n v="3719"/>
    <n v="222"/>
    <n v="313014"/>
    <n v="21.669318305251519"/>
    <x v="36"/>
    <x v="37"/>
  </r>
  <r>
    <s v="Aug"/>
    <s v="2024-08-05"/>
    <x v="2"/>
    <n v="2884"/>
    <n v="341"/>
    <n v="315557"/>
    <n v="46.999749649033298"/>
    <x v="37"/>
    <x v="38"/>
  </r>
  <r>
    <s v="Aug"/>
    <s v="2024-08-05"/>
    <x v="3"/>
    <n v="5349"/>
    <n v="502"/>
    <n v="320404"/>
    <n v="5.2152906954969351"/>
    <x v="38"/>
    <x v="39"/>
  </r>
  <r>
    <s v="Aug"/>
    <s v="2024-08-12"/>
    <x v="1"/>
    <n v="6179"/>
    <n v="384"/>
    <n v="326199"/>
    <n v="14.71218489327067"/>
    <x v="39"/>
    <x v="40"/>
  </r>
  <r>
    <s v="Aug"/>
    <s v="2024-08-12"/>
    <x v="0"/>
    <n v="7610"/>
    <n v="757"/>
    <n v="333052"/>
    <n v="44.450416151231643"/>
    <x v="40"/>
    <x v="41"/>
  </r>
  <r>
    <s v="Aug"/>
    <s v="2024-08-12"/>
    <x v="2"/>
    <n v="7430"/>
    <n v="397"/>
    <n v="340085"/>
    <n v="28.065042562888689"/>
    <x v="41"/>
    <x v="42"/>
  </r>
  <r>
    <s v="Aug"/>
    <s v="2024-08-12"/>
    <x v="1"/>
    <n v="8154"/>
    <n v="1149"/>
    <n v="347090"/>
    <n v="26.003918292085629"/>
    <x v="42"/>
    <x v="43"/>
  </r>
  <r>
    <s v="Aug"/>
    <s v="2024-08-19"/>
    <x v="0"/>
    <n v="7488"/>
    <n v="568"/>
    <n v="354010"/>
    <n v="13.47730290104799"/>
    <x v="43"/>
    <x v="44"/>
  </r>
  <r>
    <s v="Aug"/>
    <s v="2024-08-19"/>
    <x v="2"/>
    <n v="5737"/>
    <n v="666"/>
    <n v="359081"/>
    <n v="4.6034181702735593"/>
    <x v="44"/>
    <x v="45"/>
  </r>
  <r>
    <s v="Aug"/>
    <s v="2024-08-19"/>
    <x v="0"/>
    <n v="7525"/>
    <n v="610"/>
    <n v="365996"/>
    <n v="5.7694619613329108"/>
    <x v="45"/>
    <x v="46"/>
  </r>
  <r>
    <s v="Aug"/>
    <s v="2024-08-19"/>
    <x v="2"/>
    <n v="4850"/>
    <n v="494"/>
    <n v="370352"/>
    <n v="20.46539508359615"/>
    <x v="46"/>
    <x v="47"/>
  </r>
  <r>
    <s v="Aug"/>
    <s v="2024-08-26"/>
    <x v="3"/>
    <n v="1689"/>
    <n v="176"/>
    <n v="371865"/>
    <n v="38.012181840183942"/>
    <x v="47"/>
    <x v="48"/>
  </r>
  <r>
    <s v="Aug"/>
    <s v="2024-08-26"/>
    <x v="1"/>
    <n v="6175"/>
    <n v="422"/>
    <n v="377618"/>
    <n v="37.86101298137271"/>
    <x v="48"/>
    <x v="49"/>
  </r>
  <r>
    <s v="Aug"/>
    <s v="2024-08-26"/>
    <x v="0"/>
    <n v="9648"/>
    <n v="1417"/>
    <n v="385849"/>
    <n v="3.6633501706626168"/>
    <x v="49"/>
    <x v="50"/>
  </r>
  <r>
    <s v="Aug"/>
    <s v="2024-08-26"/>
    <x v="2"/>
    <n v="6078"/>
    <n v="775"/>
    <n v="391152"/>
    <n v="37.760512537325639"/>
    <x v="50"/>
    <x v="51"/>
  </r>
  <r>
    <s v="Sep"/>
    <s v="2024-09-02"/>
    <x v="0"/>
    <n v="6448"/>
    <n v="928"/>
    <n v="396672"/>
    <n v="30.118586640851881"/>
    <x v="51"/>
    <x v="52"/>
  </r>
  <r>
    <s v="Sep"/>
    <s v="2024-09-02"/>
    <x v="0"/>
    <n v="2179"/>
    <n v="303"/>
    <n v="398548"/>
    <n v="33.909842729106657"/>
    <x v="52"/>
    <x v="53"/>
  </r>
  <r>
    <s v="Sep"/>
    <s v="2024-09-02"/>
    <x v="1"/>
    <n v="7406"/>
    <n v="813"/>
    <n v="405141"/>
    <n v="24.457411123534769"/>
    <x v="53"/>
    <x v="54"/>
  </r>
  <r>
    <s v="Sep"/>
    <s v="2024-09-02"/>
    <x v="3"/>
    <n v="9591"/>
    <n v="1363"/>
    <n v="413369"/>
    <n v="10.494255737609739"/>
    <x v="54"/>
    <x v="55"/>
  </r>
  <r>
    <s v="Sep"/>
    <s v="2024-09-09"/>
    <x v="0"/>
    <n v="7907"/>
    <n v="465"/>
    <n v="420811"/>
    <n v="33.257448118038738"/>
    <x v="55"/>
    <x v="56"/>
  </r>
  <r>
    <s v="Sep"/>
    <s v="2024-09-09"/>
    <x v="2"/>
    <n v="9800"/>
    <n v="682"/>
    <n v="429929"/>
    <n v="6.2966210699906267"/>
    <x v="56"/>
    <x v="57"/>
  </r>
  <r>
    <s v="Sep"/>
    <s v="2024-09-09"/>
    <x v="2"/>
    <n v="2638"/>
    <n v="143"/>
    <n v="432424"/>
    <n v="6.9547481175882924"/>
    <x v="57"/>
    <x v="58"/>
  </r>
  <r>
    <s v="Sep"/>
    <s v="2024-09-09"/>
    <x v="3"/>
    <n v="6671"/>
    <n v="550"/>
    <n v="438545"/>
    <n v="17.750287883797562"/>
    <x v="58"/>
    <x v="59"/>
  </r>
  <r>
    <s v="Sep"/>
    <s v="2024-09-16"/>
    <x v="2"/>
    <n v="7928"/>
    <n v="704"/>
    <n v="445769"/>
    <n v="11.194362999670229"/>
    <x v="59"/>
    <x v="60"/>
  </r>
  <r>
    <s v="Sep"/>
    <s v="2024-09-16"/>
    <x v="3"/>
    <n v="2382"/>
    <n v="183"/>
    <n v="447968"/>
    <n v="4.7335970426459033"/>
    <x v="60"/>
    <x v="61"/>
  </r>
  <r>
    <s v="Sep"/>
    <s v="2024-09-16"/>
    <x v="2"/>
    <n v="2403"/>
    <n v="319"/>
    <n v="450052"/>
    <n v="29.92120910472568"/>
    <x v="61"/>
    <x v="62"/>
  </r>
  <r>
    <s v="Sep"/>
    <s v="2024-09-16"/>
    <x v="1"/>
    <n v="4292"/>
    <n v="367"/>
    <n v="453977"/>
    <n v="3.5037017293827661"/>
    <x v="62"/>
    <x v="63"/>
  </r>
  <r>
    <s v="Sep"/>
    <s v="2024-09-23"/>
    <x v="0"/>
    <n v="1419"/>
    <n v="110"/>
    <n v="455286"/>
    <n v="31.554451487636339"/>
    <x v="63"/>
    <x v="64"/>
  </r>
  <r>
    <s v="Sep"/>
    <s v="2024-09-23"/>
    <x v="1"/>
    <n v="5517"/>
    <n v="575"/>
    <n v="460228"/>
    <n v="29.45844233727631"/>
    <x v="64"/>
    <x v="65"/>
  </r>
  <r>
    <s v="Sep"/>
    <s v="2024-09-23"/>
    <x v="0"/>
    <n v="4302"/>
    <n v="275"/>
    <n v="464255"/>
    <n v="15.72131694865968"/>
    <x v="65"/>
    <x v="66"/>
  </r>
  <r>
    <s v="Sep"/>
    <s v="2024-09-23"/>
    <x v="0"/>
    <n v="8857"/>
    <n v="1153"/>
    <n v="471959"/>
    <n v="19.214592793018038"/>
    <x v="66"/>
    <x v="67"/>
  </r>
  <r>
    <s v="Sep"/>
    <s v="2024-09-30"/>
    <x v="0"/>
    <n v="8870"/>
    <n v="509"/>
    <n v="480320"/>
    <n v="25.077864756828781"/>
    <x v="67"/>
    <x v="68"/>
  </r>
  <r>
    <s v="Sep"/>
    <s v="2024-09-30"/>
    <x v="1"/>
    <n v="6693"/>
    <n v="995"/>
    <n v="486018"/>
    <n v="23.761877132122681"/>
    <x v="68"/>
    <x v="69"/>
  </r>
  <r>
    <s v="Sep"/>
    <s v="2024-09-30"/>
    <x v="0"/>
    <n v="1767"/>
    <n v="224"/>
    <n v="487561"/>
    <n v="13.208603641390511"/>
    <x v="69"/>
    <x v="70"/>
  </r>
  <r>
    <s v="Sep"/>
    <s v="2024-09-30"/>
    <x v="1"/>
    <n v="3044"/>
    <n v="212"/>
    <n v="490393"/>
    <n v="8.5343795690395261"/>
    <x v="70"/>
    <x v="71"/>
  </r>
  <r>
    <s v="Oct"/>
    <s v="2024-10-07"/>
    <x v="3"/>
    <n v="2549"/>
    <n v="128"/>
    <n v="492814"/>
    <n v="12.734216154573531"/>
    <x v="71"/>
    <x v="72"/>
  </r>
  <r>
    <s v="Oct"/>
    <s v="2024-10-07"/>
    <x v="2"/>
    <n v="7140"/>
    <n v="939"/>
    <n v="499015"/>
    <n v="25.120888149654821"/>
    <x v="72"/>
    <x v="73"/>
  </r>
  <r>
    <s v="Oct"/>
    <s v="2024-10-07"/>
    <x v="2"/>
    <n v="4716"/>
    <n v="569"/>
    <n v="503162"/>
    <n v="25.64820077827817"/>
    <x v="73"/>
    <x v="74"/>
  </r>
  <r>
    <s v="Oct"/>
    <s v="2024-10-07"/>
    <x v="0"/>
    <n v="5481"/>
    <n v="673"/>
    <n v="507970"/>
    <n v="13.08758391243577"/>
    <x v="74"/>
    <x v="75"/>
  </r>
  <r>
    <s v="Oct"/>
    <s v="2024-10-14"/>
    <x v="1"/>
    <n v="8898"/>
    <n v="1131"/>
    <n v="515737"/>
    <n v="2.1877429775253669"/>
    <x v="75"/>
    <x v="76"/>
  </r>
  <r>
    <s v="Oct"/>
    <s v="2024-10-14"/>
    <x v="2"/>
    <n v="7548"/>
    <n v="433"/>
    <n v="522852"/>
    <n v="8.3562843787534522"/>
    <x v="76"/>
    <x v="77"/>
  </r>
  <r>
    <s v="Oct"/>
    <s v="2024-10-14"/>
    <x v="1"/>
    <n v="3293"/>
    <n v="282"/>
    <n v="525863"/>
    <n v="27.040693108281051"/>
    <x v="77"/>
    <x v="78"/>
  </r>
  <r>
    <s v="Oct"/>
    <s v="2024-10-14"/>
    <x v="1"/>
    <n v="5837"/>
    <n v="359"/>
    <n v="531341"/>
    <n v="6.8073045370110723"/>
    <x v="78"/>
    <x v="79"/>
  </r>
  <r>
    <s v="Oct"/>
    <s v="2024-10-21"/>
    <x v="0"/>
    <n v="8758"/>
    <n v="1193"/>
    <n v="538906"/>
    <n v="3.4213758985797149"/>
    <x v="79"/>
    <x v="80"/>
  </r>
  <r>
    <s v="Oct"/>
    <s v="2024-10-21"/>
    <x v="2"/>
    <n v="7793"/>
    <n v="875"/>
    <n v="545824"/>
    <n v="5.5136820660139527"/>
    <x v="80"/>
    <x v="81"/>
  </r>
  <r>
    <s v="Oct"/>
    <s v="2024-10-21"/>
    <x v="0"/>
    <n v="8638"/>
    <n v="717"/>
    <n v="553745"/>
    <n v="26.921416897669499"/>
    <x v="81"/>
    <x v="82"/>
  </r>
  <r>
    <s v="Oct"/>
    <s v="2024-10-21"/>
    <x v="0"/>
    <n v="8993"/>
    <n v="506"/>
    <n v="562232"/>
    <n v="3.5131404829323132"/>
    <x v="82"/>
    <x v="83"/>
  </r>
  <r>
    <s v="Oct"/>
    <s v="2024-10-28"/>
    <x v="2"/>
    <n v="7007"/>
    <n v="568"/>
    <n v="568671"/>
    <n v="11.50507059442103"/>
    <x v="83"/>
    <x v="84"/>
  </r>
  <r>
    <s v="Oct"/>
    <s v="2024-10-28"/>
    <x v="2"/>
    <n v="6542"/>
    <n v="539"/>
    <n v="574674"/>
    <n v="6.4069368024305948"/>
    <x v="84"/>
    <x v="85"/>
  </r>
  <r>
    <s v="Oct"/>
    <s v="2024-10-28"/>
    <x v="3"/>
    <n v="7356"/>
    <n v="904"/>
    <n v="581126"/>
    <n v="17.560907617280929"/>
    <x v="85"/>
    <x v="86"/>
  </r>
  <r>
    <s v="Oct"/>
    <s v="2024-10-28"/>
    <x v="3"/>
    <n v="9433"/>
    <n v="1073"/>
    <n v="589486"/>
    <n v="7.2934726185185053"/>
    <x v="86"/>
    <x v="87"/>
  </r>
  <r>
    <s v="Nov"/>
    <s v="2024-11-04"/>
    <x v="1"/>
    <n v="8380"/>
    <n v="1162"/>
    <n v="596704"/>
    <n v="18.05853488496809"/>
    <x v="87"/>
    <x v="88"/>
  </r>
  <r>
    <s v="Nov"/>
    <s v="2024-11-04"/>
    <x v="2"/>
    <n v="3385"/>
    <n v="329"/>
    <n v="599760"/>
    <n v="17.61788048552755"/>
    <x v="88"/>
    <x v="89"/>
  </r>
  <r>
    <s v="Nov"/>
    <s v="2024-11-04"/>
    <x v="3"/>
    <n v="5268"/>
    <n v="326"/>
    <n v="604702"/>
    <n v="23.435841125050029"/>
    <x v="89"/>
    <x v="90"/>
  </r>
  <r>
    <s v="Nov"/>
    <s v="2024-11-04"/>
    <x v="1"/>
    <n v="1671"/>
    <n v="202"/>
    <n v="606171"/>
    <n v="15.150015424690389"/>
    <x v="90"/>
    <x v="91"/>
  </r>
  <r>
    <s v="Nov"/>
    <s v="2024-11-11"/>
    <x v="1"/>
    <n v="1163"/>
    <n v="146"/>
    <n v="607188"/>
    <n v="21.77776899411715"/>
    <x v="91"/>
    <x v="92"/>
  </r>
  <r>
    <s v="Nov"/>
    <s v="2024-11-11"/>
    <x v="1"/>
    <n v="9656"/>
    <n v="1024"/>
    <n v="615820"/>
    <n v="8.7252768666168681"/>
    <x v="92"/>
    <x v="93"/>
  </r>
  <r>
    <s v="Nov"/>
    <s v="2024-11-11"/>
    <x v="3"/>
    <n v="5592"/>
    <n v="710"/>
    <n v="620702"/>
    <n v="9.07118069540617"/>
    <x v="93"/>
    <x v="94"/>
  </r>
  <r>
    <s v="Nov"/>
    <s v="2024-11-11"/>
    <x v="2"/>
    <n v="5795"/>
    <n v="575"/>
    <n v="625922"/>
    <n v="3.0908004511744269"/>
    <x v="94"/>
    <x v="95"/>
  </r>
  <r>
    <s v="Nov"/>
    <s v="2024-11-18"/>
    <x v="0"/>
    <n v="5798"/>
    <n v="592"/>
    <n v="631128"/>
    <n v="1.6774727155188811"/>
    <x v="95"/>
    <x v="96"/>
  </r>
  <r>
    <s v="Nov"/>
    <s v="2024-11-18"/>
    <x v="1"/>
    <n v="7036"/>
    <n v="652"/>
    <n v="637512"/>
    <n v="3.5705994553828009"/>
    <x v="96"/>
    <x v="97"/>
  </r>
  <r>
    <s v="Nov"/>
    <s v="2024-11-18"/>
    <x v="3"/>
    <n v="3355"/>
    <n v="176"/>
    <n v="640691"/>
    <n v="12.426427091999111"/>
    <x v="97"/>
    <x v="98"/>
  </r>
  <r>
    <s v="Nov"/>
    <s v="2024-11-18"/>
    <x v="3"/>
    <n v="6887"/>
    <n v="418"/>
    <n v="647160"/>
    <n v="20.240280610668151"/>
    <x v="98"/>
    <x v="99"/>
  </r>
  <r>
    <s v="Nov"/>
    <s v="2024-11-25"/>
    <x v="0"/>
    <n v="8961"/>
    <n v="476"/>
    <n v="655645"/>
    <n v="15.458517947974901"/>
    <x v="99"/>
    <x v="100"/>
  </r>
  <r>
    <s v="Nov"/>
    <s v="2024-11-25"/>
    <x v="0"/>
    <n v="6827"/>
    <n v="775"/>
    <n v="661697"/>
    <n v="15.96622018839439"/>
    <x v="100"/>
    <x v="101"/>
  </r>
  <r>
    <s v="Nov"/>
    <s v="2024-11-25"/>
    <x v="3"/>
    <n v="9737"/>
    <n v="792"/>
    <n v="670642"/>
    <n v="5.301785453341723"/>
    <x v="101"/>
    <x v="102"/>
  </r>
  <r>
    <s v="Nov"/>
    <s v="2024-11-25"/>
    <x v="2"/>
    <n v="5719"/>
    <n v="576"/>
    <n v="675785"/>
    <n v="10.21656296011305"/>
    <x v="102"/>
    <x v="103"/>
  </r>
  <r>
    <s v="Dec"/>
    <s v="2024-12-02"/>
    <x v="0"/>
    <n v="1593"/>
    <n v="224"/>
    <n v="677154"/>
    <n v="4.1495730660972248"/>
    <x v="103"/>
    <x v="104"/>
  </r>
  <r>
    <s v="Dec"/>
    <s v="2024-12-02"/>
    <x v="3"/>
    <n v="5839"/>
    <n v="437"/>
    <n v="682556"/>
    <n v="17.44750613869045"/>
    <x v="104"/>
    <x v="105"/>
  </r>
  <r>
    <s v="Dec"/>
    <s v="2024-12-02"/>
    <x v="0"/>
    <n v="8394"/>
    <n v="764"/>
    <n v="690186"/>
    <n v="6.3556780346167558"/>
    <x v="105"/>
    <x v="106"/>
  </r>
  <r>
    <s v="Dec"/>
    <s v="2024-12-02"/>
    <x v="2"/>
    <n v="4493"/>
    <n v="564"/>
    <n v="694115"/>
    <n v="16.625487131094989"/>
    <x v="106"/>
    <x v="107"/>
  </r>
  <r>
    <s v="Dec"/>
    <s v="2024-12-09"/>
    <x v="1"/>
    <n v="7164"/>
    <n v="522"/>
    <n v="700757"/>
    <n v="13.449169969047761"/>
    <x v="107"/>
    <x v="108"/>
  </r>
  <r>
    <s v="Dec"/>
    <s v="2024-12-09"/>
    <x v="0"/>
    <n v="3672"/>
    <n v="211"/>
    <n v="704218"/>
    <n v="12.35057894004413"/>
    <x v="108"/>
    <x v="109"/>
  </r>
  <r>
    <s v="Dec"/>
    <s v="2024-12-09"/>
    <x v="2"/>
    <n v="5200"/>
    <n v="410"/>
    <n v="709008"/>
    <n v="12.913394489201821"/>
    <x v="109"/>
    <x v="110"/>
  </r>
  <r>
    <s v="Dec"/>
    <s v="2024-12-09"/>
    <x v="3"/>
    <n v="1016"/>
    <n v="67"/>
    <n v="709957"/>
    <n v="20.774215903216671"/>
    <x v="110"/>
    <x v="111"/>
  </r>
  <r>
    <s v="Dec"/>
    <s v="2024-12-16"/>
    <x v="0"/>
    <n v="4191"/>
    <n v="599"/>
    <n v="713549"/>
    <n v="11.56416728213479"/>
    <x v="111"/>
    <x v="112"/>
  </r>
  <r>
    <s v="Dec"/>
    <s v="2024-12-16"/>
    <x v="0"/>
    <n v="1392"/>
    <n v="182"/>
    <n v="714759"/>
    <n v="5.9603306848881932"/>
    <x v="112"/>
    <x v="113"/>
  </r>
  <r>
    <s v="Dec"/>
    <s v="2024-12-16"/>
    <x v="3"/>
    <n v="9616"/>
    <n v="1089"/>
    <n v="723286"/>
    <n v="19.25863351426683"/>
    <x v="113"/>
    <x v="114"/>
  </r>
  <r>
    <s v="Dec"/>
    <s v="2024-12-16"/>
    <x v="1"/>
    <n v="7272"/>
    <n v="997"/>
    <n v="729561"/>
    <n v="13.428486445958599"/>
    <x v="114"/>
    <x v="115"/>
  </r>
  <r>
    <s v="Dec"/>
    <s v="2024-12-23"/>
    <x v="3"/>
    <n v="1571"/>
    <n v="204"/>
    <n v="730928"/>
    <n v="19.449384891535139"/>
    <x v="115"/>
    <x v="116"/>
  </r>
  <r>
    <s v="Dec"/>
    <s v="2024-12-23"/>
    <x v="0"/>
    <n v="4631"/>
    <n v="317"/>
    <n v="735242"/>
    <n v="1.381177897889402"/>
    <x v="116"/>
    <x v="117"/>
  </r>
  <r>
    <s v="Dec"/>
    <s v="2024-12-23"/>
    <x v="3"/>
    <n v="7172"/>
    <n v="998"/>
    <n v="741416"/>
    <n v="18.0667803230575"/>
    <x v="117"/>
    <x v="118"/>
  </r>
  <r>
    <s v="Dec"/>
    <s v="2024-12-23"/>
    <x v="2"/>
    <n v="8177"/>
    <n v="849"/>
    <n v="748744"/>
    <n v="10.34986590877523"/>
    <x v="118"/>
    <x v="119"/>
  </r>
  <r>
    <s v="Dec"/>
    <s v="2024-12-30"/>
    <x v="3"/>
    <n v="9433"/>
    <n v="1233"/>
    <n v="756944"/>
    <n v="11.391727789638329"/>
    <x v="119"/>
    <x v="120"/>
  </r>
  <r>
    <s v="Dec"/>
    <s v="2024-12-30"/>
    <x v="0"/>
    <n v="4897"/>
    <n v="683"/>
    <n v="761158"/>
    <n v="15.06231294947961"/>
    <x v="120"/>
    <x v="121"/>
  </r>
  <r>
    <s v="Dec"/>
    <s v="2024-12-30"/>
    <x v="3"/>
    <n v="9123"/>
    <n v="746"/>
    <n v="769535"/>
    <n v="6.3086149427901264"/>
    <x v="121"/>
    <x v="122"/>
  </r>
  <r>
    <s v="Dec"/>
    <s v="2024-12-30"/>
    <x v="1"/>
    <n v="3279"/>
    <n v="200"/>
    <n v="772614"/>
    <n v="5.0212654702089274"/>
    <x v="122"/>
    <x v="123"/>
  </r>
  <r>
    <s v="Jan"/>
    <s v="2025-01-06"/>
    <x v="3"/>
    <n v="9980"/>
    <n v="726"/>
    <n v="781868"/>
    <n v="4.0220344099003924"/>
    <x v="123"/>
    <x v="124"/>
  </r>
  <r>
    <s v="Jan"/>
    <s v="2025-01-06"/>
    <x v="1"/>
    <n v="8451"/>
    <n v="783"/>
    <n v="789536"/>
    <n v="12.407287318121019"/>
    <x v="124"/>
    <x v="125"/>
  </r>
  <r>
    <s v="Jan"/>
    <s v="2025-01-06"/>
    <x v="2"/>
    <n v="9906"/>
    <n v="1305"/>
    <n v="798137"/>
    <n v="9.1811305577864442"/>
    <x v="125"/>
    <x v="126"/>
  </r>
  <r>
    <s v="Jan"/>
    <s v="2025-01-06"/>
    <x v="1"/>
    <n v="1775"/>
    <n v="241"/>
    <n v="799671"/>
    <n v="8.1379717408784362"/>
    <x v="126"/>
    <x v="127"/>
  </r>
  <r>
    <s v="Jan"/>
    <s v="2025-01-13"/>
    <x v="3"/>
    <n v="7869"/>
    <n v="398"/>
    <n v="807142"/>
    <n v="15.211945357818079"/>
    <x v="127"/>
    <x v="128"/>
  </r>
  <r>
    <s v="Jan"/>
    <s v="2025-01-13"/>
    <x v="0"/>
    <n v="3247"/>
    <n v="328"/>
    <n v="810061"/>
    <n v="13.941172331466399"/>
    <x v="128"/>
    <x v="129"/>
  </r>
  <r>
    <s v="Jan"/>
    <s v="2025-01-13"/>
    <x v="1"/>
    <n v="8088"/>
    <n v="742"/>
    <n v="817407"/>
    <n v="14.664542877660701"/>
    <x v="129"/>
    <x v="130"/>
  </r>
  <r>
    <s v="Jan"/>
    <s v="2025-01-13"/>
    <x v="2"/>
    <n v="1078"/>
    <n v="77"/>
    <n v="818408"/>
    <n v="18.236747441373989"/>
    <x v="130"/>
    <x v="131"/>
  </r>
  <r>
    <s v="Jan"/>
    <s v="2025-01-20"/>
    <x v="1"/>
    <n v="9080"/>
    <n v="562"/>
    <n v="826926"/>
    <n v="7.1083748727213809"/>
    <x v="131"/>
    <x v="132"/>
  </r>
  <r>
    <s v="Jan"/>
    <s v="2025-01-20"/>
    <x v="1"/>
    <n v="8099"/>
    <n v="678"/>
    <n v="834347"/>
    <n v="7.6464588474579518"/>
    <x v="132"/>
    <x v="133"/>
  </r>
  <r>
    <s v="Jan"/>
    <s v="2025-01-20"/>
    <x v="1"/>
    <n v="4926"/>
    <n v="710"/>
    <n v="838563"/>
    <n v="12.96217457722318"/>
    <x v="133"/>
    <x v="134"/>
  </r>
  <r>
    <s v="Jan"/>
    <s v="2025-01-20"/>
    <x v="2"/>
    <n v="8340"/>
    <n v="686"/>
    <n v="846217"/>
    <n v="7.201344336027284"/>
    <x v="134"/>
    <x v="135"/>
  </r>
  <r>
    <s v="Jan"/>
    <s v="2025-01-27"/>
    <x v="3"/>
    <n v="8083"/>
    <n v="823"/>
    <n v="853477"/>
    <n v="4.6300017457998282"/>
    <x v="135"/>
    <x v="136"/>
  </r>
  <r>
    <s v="Jan"/>
    <s v="2025-01-27"/>
    <x v="1"/>
    <n v="7230"/>
    <n v="869"/>
    <n v="859838"/>
    <n v="7.0117859410726204"/>
    <x v="136"/>
    <x v="137"/>
  </r>
  <r>
    <s v="Jan"/>
    <s v="2025-01-27"/>
    <x v="1"/>
    <n v="5940"/>
    <n v="512"/>
    <n v="865266"/>
    <n v="15.7972230504839"/>
    <x v="137"/>
    <x v="138"/>
  </r>
  <r>
    <s v="Jan"/>
    <s v="2025-01-27"/>
    <x v="0"/>
    <n v="4271"/>
    <n v="628"/>
    <n v="868909"/>
    <n v="11.124410036033691"/>
    <x v="138"/>
    <x v="139"/>
  </r>
  <r>
    <s v="Feb"/>
    <s v="2025-02-03"/>
    <x v="2"/>
    <n v="4456"/>
    <n v="651"/>
    <n v="872714"/>
    <n v="9.5052903929580594"/>
    <x v="139"/>
    <x v="140"/>
  </r>
  <r>
    <s v="Feb"/>
    <s v="2025-02-03"/>
    <x v="1"/>
    <n v="8788"/>
    <n v="660"/>
    <n v="880842"/>
    <n v="3.7175793161543158"/>
    <x v="140"/>
    <x v="141"/>
  </r>
  <r>
    <s v="Feb"/>
    <s v="2025-02-03"/>
    <x v="2"/>
    <n v="9599"/>
    <n v="957"/>
    <n v="889484"/>
    <n v="8.768004820772493"/>
    <x v="141"/>
    <x v="142"/>
  </r>
  <r>
    <s v="Feb"/>
    <s v="2025-02-03"/>
    <x v="1"/>
    <n v="8650"/>
    <n v="692"/>
    <n v="897442"/>
    <n v="7.6673478620345374"/>
    <x v="142"/>
    <x v="143"/>
  </r>
  <r>
    <s v="Feb"/>
    <s v="2025-02-10"/>
    <x v="3"/>
    <n v="3711"/>
    <n v="291"/>
    <n v="900862"/>
    <n v="14.24879726306582"/>
    <x v="143"/>
    <x v="144"/>
  </r>
  <r>
    <s v="Feb"/>
    <s v="2025-02-10"/>
    <x v="3"/>
    <n v="2668"/>
    <n v="143"/>
    <n v="903387"/>
    <n v="15.903372530266649"/>
    <x v="144"/>
    <x v="145"/>
  </r>
  <r>
    <s v="Feb"/>
    <s v="2025-02-10"/>
    <x v="1"/>
    <n v="1147"/>
    <n v="127"/>
    <n v="904407"/>
    <n v="1.3997016829812241"/>
    <x v="145"/>
    <x v="146"/>
  </r>
  <r>
    <s v="Feb"/>
    <s v="2025-02-10"/>
    <x v="3"/>
    <n v="7420"/>
    <n v="743"/>
    <n v="911084"/>
    <n v="10.593534734448189"/>
    <x v="146"/>
    <x v="147"/>
  </r>
  <r>
    <s v="Feb"/>
    <s v="2025-02-17"/>
    <x v="1"/>
    <n v="1365"/>
    <n v="75"/>
    <n v="912374"/>
    <n v="9.2688963078737441"/>
    <x v="147"/>
    <x v="148"/>
  </r>
  <r>
    <s v="Feb"/>
    <s v="2025-02-17"/>
    <x v="3"/>
    <n v="5531"/>
    <n v="430"/>
    <n v="917475"/>
    <n v="2.7289026948963189"/>
    <x v="148"/>
    <x v="149"/>
  </r>
  <r>
    <s v="Feb"/>
    <s v="2025-02-17"/>
    <x v="0"/>
    <n v="6330"/>
    <n v="891"/>
    <n v="922914"/>
    <n v="14.789893749580139"/>
    <x v="149"/>
    <x v="150"/>
  </r>
  <r>
    <s v="Feb"/>
    <s v="2025-02-17"/>
    <x v="0"/>
    <n v="6510"/>
    <n v="481"/>
    <n v="928943"/>
    <n v="2.3800168578696428"/>
    <x v="150"/>
    <x v="151"/>
  </r>
  <r>
    <s v="Feb"/>
    <s v="2025-02-24"/>
    <x v="0"/>
    <n v="9754"/>
    <n v="629"/>
    <n v="938068"/>
    <n v="3.4123325814333292"/>
    <x v="151"/>
    <x v="152"/>
  </r>
  <r>
    <s v="Feb"/>
    <s v="2025-02-24"/>
    <x v="2"/>
    <n v="9964"/>
    <n v="985"/>
    <n v="947047"/>
    <n v="1.9837452629066989"/>
    <x v="152"/>
    <x v="153"/>
  </r>
  <r>
    <s v="Feb"/>
    <s v="2025-02-24"/>
    <x v="2"/>
    <n v="7493"/>
    <n v="1113"/>
    <n v="953427"/>
    <n v="15.684892498324469"/>
    <x v="153"/>
    <x v="154"/>
  </r>
  <r>
    <s v="Feb"/>
    <s v="2025-02-24"/>
    <x v="0"/>
    <n v="6439"/>
    <n v="477"/>
    <n v="959389"/>
    <n v="7.4744446725989153"/>
    <x v="154"/>
    <x v="155"/>
  </r>
  <r>
    <s v="Mar"/>
    <s v="2025-03-03"/>
    <x v="2"/>
    <n v="7511"/>
    <n v="880"/>
    <n v="966020"/>
    <n v="4.6083932009689246"/>
    <x v="155"/>
    <x v="156"/>
  </r>
  <r>
    <s v="Mar"/>
    <s v="2025-03-03"/>
    <x v="3"/>
    <n v="8504"/>
    <n v="1072"/>
    <n v="973452"/>
    <n v="6.5651927367759271"/>
    <x v="156"/>
    <x v="157"/>
  </r>
  <r>
    <s v="Mar"/>
    <s v="2025-03-03"/>
    <x v="1"/>
    <n v="2246"/>
    <n v="165"/>
    <n v="975533"/>
    <n v="2.9062061457685191"/>
    <x v="157"/>
    <x v="158"/>
  </r>
  <r>
    <s v="Mar"/>
    <s v="2025-03-03"/>
    <x v="1"/>
    <n v="4839"/>
    <n v="594"/>
    <n v="979778"/>
    <n v="2.5803804535313102"/>
    <x v="158"/>
    <x v="159"/>
  </r>
  <r>
    <s v="Mar"/>
    <s v="2025-03-10"/>
    <x v="1"/>
    <n v="9551"/>
    <n v="828"/>
    <n v="988501"/>
    <n v="1.525036393488727"/>
    <x v="159"/>
    <x v="160"/>
  </r>
  <r>
    <s v="Mar"/>
    <s v="2025-03-10"/>
    <x v="0"/>
    <n v="3376"/>
    <n v="382"/>
    <n v="991495"/>
    <n v="3.8694093263203548"/>
    <x v="160"/>
    <x v="161"/>
  </r>
  <r>
    <s v="Mar"/>
    <s v="2025-03-10"/>
    <x v="2"/>
    <n v="4009"/>
    <n v="454"/>
    <n v="995050"/>
    <n v="2.1106477061454201"/>
    <x v="161"/>
    <x v="162"/>
  </r>
  <r>
    <s v="Mar"/>
    <s v="2025-03-10"/>
    <x v="3"/>
    <n v="2827"/>
    <n v="292"/>
    <n v="997585"/>
    <n v="2.4004972007397871"/>
    <x v="162"/>
    <x v="163"/>
  </r>
  <r>
    <s v="Mar"/>
    <s v="2025-03-17"/>
    <x v="3"/>
    <n v="7979"/>
    <n v="470"/>
    <n v="1005094"/>
    <n v="10.43086517280971"/>
    <x v="163"/>
    <x v="164"/>
  </r>
  <r>
    <s v="Mar"/>
    <s v="2025-03-17"/>
    <x v="0"/>
    <n v="9569"/>
    <n v="1277"/>
    <n v="1013386"/>
    <n v="12.45517502708741"/>
    <x v="164"/>
    <x v="165"/>
  </r>
  <r>
    <s v="Mar"/>
    <s v="2025-03-17"/>
    <x v="3"/>
    <n v="5285"/>
    <n v="433"/>
    <n v="1018238"/>
    <n v="8.7022876773406619"/>
    <x v="165"/>
    <x v="166"/>
  </r>
  <r>
    <s v="Mar"/>
    <s v="2025-03-17"/>
    <x v="3"/>
    <n v="7910"/>
    <n v="543"/>
    <n v="1025605"/>
    <n v="6.0590578244060822"/>
    <x v="166"/>
    <x v="167"/>
  </r>
  <r>
    <s v="Mar"/>
    <s v="2025-03-24"/>
    <x v="3"/>
    <n v="9561"/>
    <n v="517"/>
    <n v="1034649"/>
    <n v="6.4086467971263694"/>
    <x v="167"/>
    <x v="168"/>
  </r>
  <r>
    <s v="Mar"/>
    <s v="2025-03-24"/>
    <x v="3"/>
    <n v="3196"/>
    <n v="348"/>
    <n v="1037497"/>
    <n v="14.03040201562029"/>
    <x v="168"/>
    <x v="169"/>
  </r>
  <r>
    <s v="Mar"/>
    <s v="2025-03-24"/>
    <x v="2"/>
    <n v="4747"/>
    <n v="558"/>
    <n v="1041686"/>
    <n v="5.7680529449373434"/>
    <x v="169"/>
    <x v="170"/>
  </r>
  <r>
    <s v="Mar"/>
    <s v="2025-03-24"/>
    <x v="3"/>
    <n v="9843"/>
    <n v="508"/>
    <n v="1051021"/>
    <n v="4.2080986012648651"/>
    <x v="170"/>
    <x v="171"/>
  </r>
  <r>
    <s v="Mar"/>
    <s v="2025-03-31"/>
    <x v="1"/>
    <n v="6978"/>
    <n v="706"/>
    <n v="1057293"/>
    <n v="5.057443868445171"/>
    <x v="171"/>
    <x v="172"/>
  </r>
  <r>
    <s v="Mar"/>
    <s v="2025-03-31"/>
    <x v="0"/>
    <n v="6607"/>
    <n v="479"/>
    <n v="1063421"/>
    <n v="5.5892257158735816"/>
    <x v="172"/>
    <x v="173"/>
  </r>
  <r>
    <s v="Mar"/>
    <s v="2025-03-31"/>
    <x v="2"/>
    <n v="1769"/>
    <n v="202"/>
    <n v="1064988"/>
    <n v="6.5457075572682513"/>
    <x v="173"/>
    <x v="174"/>
  </r>
  <r>
    <s v="Mar"/>
    <s v="2025-03-31"/>
    <x v="3"/>
    <n v="1780"/>
    <n v="120"/>
    <n v="1066648"/>
    <n v="13.86474263299608"/>
    <x v="174"/>
    <x v="175"/>
  </r>
  <r>
    <s v="Apr"/>
    <s v="2025-04-07"/>
    <x v="2"/>
    <n v="7303"/>
    <n v="869"/>
    <n v="1073082"/>
    <n v="8.1237966902808925"/>
    <x v="175"/>
    <x v="176"/>
  </r>
  <r>
    <s v="Apr"/>
    <s v="2025-04-07"/>
    <x v="3"/>
    <n v="4983"/>
    <n v="441"/>
    <n v="1077624"/>
    <n v="6.8954477628560609"/>
    <x v="176"/>
    <x v="177"/>
  </r>
  <r>
    <s v="Apr"/>
    <s v="2025-04-07"/>
    <x v="1"/>
    <n v="9714"/>
    <n v="1395"/>
    <n v="1085943"/>
    <n v="5.2243073531483697"/>
    <x v="177"/>
    <x v="178"/>
  </r>
  <r>
    <s v="Apr"/>
    <s v="2025-04-07"/>
    <x v="0"/>
    <n v="1521"/>
    <n v="96"/>
    <n v="1087368"/>
    <n v="12.709772588488899"/>
    <x v="178"/>
    <x v="179"/>
  </r>
  <r>
    <s v="Apr"/>
    <s v="2025-04-14"/>
    <x v="3"/>
    <n v="8569"/>
    <n v="720"/>
    <n v="1095217"/>
    <n v="9.589697749395782"/>
    <x v="179"/>
    <x v="180"/>
  </r>
  <r>
    <s v="Apr"/>
    <s v="2025-04-14"/>
    <x v="3"/>
    <n v="6784"/>
    <n v="416"/>
    <n v="1101585"/>
    <n v="9.3041390360253633"/>
    <x v="180"/>
    <x v="181"/>
  </r>
  <r>
    <s v="Apr"/>
    <s v="2025-04-14"/>
    <x v="3"/>
    <n v="5583"/>
    <n v="795"/>
    <n v="1106373"/>
    <n v="12.21550055903389"/>
    <x v="181"/>
    <x v="182"/>
  </r>
  <r>
    <s v="Apr"/>
    <s v="2025-04-14"/>
    <x v="3"/>
    <n v="6946"/>
    <n v="956"/>
    <n v="1112363"/>
    <n v="1.64146056637986"/>
    <x v="182"/>
    <x v="183"/>
  </r>
  <r>
    <s v="Apr"/>
    <s v="2025-04-21"/>
    <x v="0"/>
    <n v="5941"/>
    <n v="450"/>
    <n v="1117854"/>
    <n v="12.414411899944"/>
    <x v="183"/>
    <x v="184"/>
  </r>
  <r>
    <s v="Apr"/>
    <s v="2025-04-21"/>
    <x v="0"/>
    <n v="7267"/>
    <n v="842"/>
    <n v="1124279"/>
    <n v="2.2102165031989389"/>
    <x v="184"/>
    <x v="185"/>
  </r>
  <r>
    <s v="Apr"/>
    <s v="2025-04-21"/>
    <x v="1"/>
    <n v="8128"/>
    <n v="1070"/>
    <n v="1131337"/>
    <n v="8.1114645768679008"/>
    <x v="185"/>
    <x v="186"/>
  </r>
  <r>
    <s v="Apr"/>
    <s v="2025-04-21"/>
    <x v="0"/>
    <n v="3461"/>
    <n v="365"/>
    <n v="1134433"/>
    <n v="10.23489267325616"/>
    <x v="186"/>
    <x v="187"/>
  </r>
  <r>
    <s v="Apr"/>
    <s v="2025-04-28"/>
    <x v="3"/>
    <n v="1685"/>
    <n v="173"/>
    <n v="1135945"/>
    <n v="8.7776256772995165"/>
    <x v="187"/>
    <x v="188"/>
  </r>
  <r>
    <s v="Apr"/>
    <s v="2025-04-28"/>
    <x v="1"/>
    <n v="3160"/>
    <n v="234"/>
    <n v="1138871"/>
    <n v="5.6959041015180816"/>
    <x v="188"/>
    <x v="189"/>
  </r>
  <r>
    <s v="Apr"/>
    <s v="2025-04-28"/>
    <x v="1"/>
    <n v="8031"/>
    <n v="476"/>
    <n v="1146426"/>
    <n v="11.940413075069831"/>
    <x v="189"/>
    <x v="190"/>
  </r>
  <r>
    <s v="Apr"/>
    <s v="2025-04-28"/>
    <x v="1"/>
    <n v="6341"/>
    <n v="885"/>
    <n v="1151882"/>
    <n v="6.3457020771224837"/>
    <x v="43"/>
    <x v="191"/>
  </r>
  <r>
    <s v="May"/>
    <s v="2025-05-05"/>
    <x v="3"/>
    <n v="1038"/>
    <n v="145"/>
    <n v="1152775"/>
    <n v="11.093752033137431"/>
    <x v="190"/>
    <x v="192"/>
  </r>
  <r>
    <s v="May"/>
    <s v="2025-05-05"/>
    <x v="2"/>
    <n v="5875"/>
    <n v="665"/>
    <n v="1157985"/>
    <n v="6.9871371390821126"/>
    <x v="191"/>
    <x v="193"/>
  </r>
  <r>
    <s v="May"/>
    <s v="2025-05-05"/>
    <x v="3"/>
    <n v="2256"/>
    <n v="189"/>
    <n v="1160052"/>
    <n v="2.8935771844710412"/>
    <x v="192"/>
    <x v="194"/>
  </r>
  <r>
    <s v="May"/>
    <s v="2025-05-05"/>
    <x v="0"/>
    <n v="8697"/>
    <n v="738"/>
    <n v="1168011"/>
    <n v="3.8777032065622672"/>
    <x v="193"/>
    <x v="195"/>
  </r>
  <r>
    <s v="May"/>
    <s v="2025-05-12"/>
    <x v="0"/>
    <n v="3196"/>
    <n v="391"/>
    <n v="1170816"/>
    <n v="7.2439221876024931"/>
    <x v="194"/>
    <x v="196"/>
  </r>
  <r>
    <s v="May"/>
    <s v="2025-05-12"/>
    <x v="3"/>
    <n v="8165"/>
    <n v="1140"/>
    <n v="1177841"/>
    <n v="9.095964565675672"/>
    <x v="195"/>
    <x v="197"/>
  </r>
  <r>
    <s v="May"/>
    <s v="2025-05-12"/>
    <x v="3"/>
    <n v="1301"/>
    <n v="180"/>
    <n v="1178962"/>
    <n v="5.2275645864752214"/>
    <x v="196"/>
    <x v="198"/>
  </r>
  <r>
    <s v="May"/>
    <s v="2025-05-12"/>
    <x v="1"/>
    <n v="8527"/>
    <n v="1091"/>
    <n v="1186398"/>
    <n v="1.676081719625286"/>
    <x v="197"/>
    <x v="1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s v="A1"/>
    <x v="0"/>
    <s v="2024-12-23"/>
    <x v="0"/>
    <s v="#AppleWatchUltra2 #HealthTech"/>
    <s v="AppleWatchUltra2  HealthTech"/>
    <n v="24516"/>
    <n v="976"/>
    <n v="974"/>
    <n v="2675"/>
    <n v="23275"/>
    <n v="202932"/>
    <n v="25492.004799637318"/>
    <n v="29141"/>
    <n v="14.359982654288137"/>
    <s v="Apple Watch Ultra 2 Launch"/>
  </r>
  <r>
    <s v="A2"/>
    <x v="1"/>
    <d v="2025-09-03T00:00:00"/>
    <x v="0"/>
    <s v="#MacBookAirM3 #AppleInnovation"/>
    <s v="MacBookAirM3  AppleInnovation"/>
    <n v="4779"/>
    <n v="1110"/>
    <n v="436"/>
    <n v="1574"/>
    <n v="77167"/>
    <n v="71585"/>
    <n v="5889.0060906614517"/>
    <n v="7899"/>
    <n v="11.034434588251729"/>
    <s v="Apple Event September 2025"/>
  </r>
  <r>
    <s v="A3"/>
    <x v="2"/>
    <s v="2025-05-12"/>
    <x v="1"/>
    <s v="#AppleDesign #Innovation"/>
    <s v="AppleDesign  Innovation"/>
    <n v="19308"/>
    <n v="1318"/>
    <n v="795"/>
    <n v="1499"/>
    <n v="52307"/>
    <n v="193087"/>
    <n v="20626.004117314991"/>
    <n v="22920"/>
    <n v="11.870296809210355"/>
    <s v="Sustainability Awareness Drive"/>
  </r>
  <r>
    <s v="A4"/>
    <x v="0"/>
    <s v="2024-08-12"/>
    <x v="2"/>
    <s v="#AppleEvent #iPadPro"/>
    <s v="AppleEvent  iPadPro"/>
    <n v="3581"/>
    <n v="517"/>
    <n v="880"/>
    <n v="1925"/>
    <n v="18636"/>
    <n v="248611"/>
    <n v="4098.0035396663861"/>
    <n v="6903"/>
    <n v="2.7766269392746095"/>
    <s v="iPhone 16 Launch"/>
  </r>
  <r>
    <s v="A5"/>
    <x v="0"/>
    <d v="2025-09-04T00:00:00"/>
    <x v="2"/>
    <s v="#AppleWatchUltra2 #HealthTech"/>
    <s v="AppleWatchUltra2  HealthTech"/>
    <n v="21708"/>
    <n v="435"/>
    <n v="317"/>
    <n v="1213"/>
    <n v="70701"/>
    <n v="83585"/>
    <n v="22143.003792546511"/>
    <n v="23673"/>
    <n v="28.322067356583119"/>
    <s v="Apple Event September 2025"/>
  </r>
  <r>
    <s v="A6"/>
    <x v="1"/>
    <d v="2025-09-05T00:00:00"/>
    <x v="0"/>
    <s v="#ShotOniPhone"/>
    <s v="ShotOniPhone"/>
    <n v="14677"/>
    <n v="533"/>
    <n v="759"/>
    <n v="753"/>
    <n v="23275"/>
    <n v="66958"/>
    <n v="15210.011335464022"/>
    <n v="16722"/>
    <n v="24.973864213387497"/>
    <s v="Apple Event September 2025"/>
  </r>
  <r>
    <s v="A7"/>
    <x v="2"/>
    <s v="2024-06-24"/>
    <x v="3"/>
    <s v="#AppleMusic #AppleLifestyle"/>
    <s v="AppleMusic  AppleLifestyle"/>
    <n v="7713"/>
    <n v="575"/>
    <n v="417"/>
    <n v="336"/>
    <n v="61660"/>
    <n v="66017"/>
    <n v="8288.0063165548272"/>
    <n v="9041"/>
    <n v="13.694957359468015"/>
    <s v="iPhone 16 Launch"/>
  </r>
  <r>
    <s v="A8"/>
    <x v="2"/>
    <s v="2024-07-13"/>
    <x v="2"/>
    <s v="#AppleWatch #Health"/>
    <s v="AppleWatch  Health"/>
    <n v="18639"/>
    <n v="1360"/>
    <n v="898"/>
    <n v="2011"/>
    <n v="42841"/>
    <n v="247779"/>
    <n v="19999.003624197368"/>
    <n v="22908"/>
    <n v="9.2453355611250352"/>
    <s v="iPhone 16 Launch"/>
  </r>
  <r>
    <s v="A9"/>
    <x v="0"/>
    <s v="2024-08-30"/>
    <x v="3"/>
    <s v="#MacBookAirM3 #AppleInnovation"/>
    <s v="MacBookAirM3  AppleInnovation"/>
    <n v="6804"/>
    <n v="787"/>
    <n v="970"/>
    <n v="1095"/>
    <n v="56343"/>
    <n v="164677"/>
    <n v="7591.0058903186236"/>
    <n v="9656"/>
    <n v="5.8635996526533756"/>
    <s v="Apple Watch Ultra 2 Launch"/>
  </r>
  <r>
    <s v="A10"/>
    <x v="3"/>
    <s v="2025-03-11"/>
    <x v="2"/>
    <s v="#iPhone16Launch #AppleEvent"/>
    <s v="iPhone16Launch  AppleEvent"/>
    <n v="20222"/>
    <n v="712"/>
    <n v="604"/>
    <n v="1272"/>
    <n v="71598"/>
    <n v="216422"/>
    <n v="20934.002790843813"/>
    <n v="22810"/>
    <n v="10.53959394146621"/>
    <s v="Sustainability Awareness Drive"/>
  </r>
  <r>
    <s v="A11"/>
    <x v="0"/>
    <s v="2025-02-02"/>
    <x v="3"/>
    <s v="#AppleEvent #iPadPro"/>
    <s v="AppleEvent  iPadPro"/>
    <n v="12136"/>
    <n v="1117"/>
    <n v="834"/>
    <n v="892"/>
    <n v="24675"/>
    <n v="183273"/>
    <n v="13253.004550588466"/>
    <n v="14979"/>
    <n v="8.1730533139087598"/>
    <s v="Sustainability Awareness Drive"/>
  </r>
  <r>
    <s v="A12"/>
    <x v="0"/>
    <s v="2024-07-21"/>
    <x v="1"/>
    <s v="#MacBookAirM3 #AppleInnovation"/>
    <s v="MacBookAirM3  AppleInnovation"/>
    <n v="2009"/>
    <n v="1072"/>
    <n v="550"/>
    <n v="1437"/>
    <n v="22982"/>
    <n v="69426"/>
    <n v="3081.007922104111"/>
    <n v="5068"/>
    <n v="7.2998588425085709"/>
    <s v="iPhone 16 Launch"/>
  </r>
  <r>
    <s v="A13"/>
    <x v="0"/>
    <s v="2024-11-18"/>
    <x v="3"/>
    <s v="#AppleMusic #AppleLifestyle"/>
    <s v="AppleMusic  AppleLifestyle"/>
    <n v="21255"/>
    <n v="1452"/>
    <n v="625"/>
    <n v="1624"/>
    <n v="21282"/>
    <n v="57778"/>
    <n v="22707.010817266088"/>
    <n v="24956"/>
    <n v="43.192910796496939"/>
    <s v="MacBook Air M3 Campaign"/>
  </r>
  <r>
    <s v="A14"/>
    <x v="0"/>
    <d v="2025-09-06T00:00:00"/>
    <x v="1"/>
    <s v="#AppleWatch #Health"/>
    <s v="AppleWatch  Health"/>
    <n v="7124"/>
    <n v="469"/>
    <n v="851"/>
    <n v="2571"/>
    <n v="33802"/>
    <n v="216313"/>
    <n v="7593.0039341139918"/>
    <n v="11015"/>
    <n v="5.092158122720317"/>
    <s v="Apple Event September 2025"/>
  </r>
  <r>
    <s v="A15"/>
    <x v="1"/>
    <d v="2025-09-07T00:00:00"/>
    <x v="1"/>
    <s v="#AppleDesign #Innovation"/>
    <s v="AppleDesign  Innovation"/>
    <n v="3015"/>
    <n v="997"/>
    <n v="783"/>
    <n v="617"/>
    <n v="77167"/>
    <n v="82229"/>
    <n v="4012.009522188036"/>
    <n v="5412"/>
    <n v="6.5816196232472732"/>
    <s v="Apple Event September 2025"/>
  </r>
  <r>
    <s v="A16"/>
    <x v="2"/>
    <s v="2024-08-26"/>
    <x v="3"/>
    <s v="#AppleWatch #Health"/>
    <s v="AppleWatch  Health"/>
    <n v="4193"/>
    <n v="924"/>
    <n v="707"/>
    <n v="2696"/>
    <n v="55075"/>
    <n v="126652"/>
    <n v="5117.0055822253107"/>
    <n v="8520"/>
    <n v="6.7270947162303001"/>
    <s v="iPhone 16 Launch"/>
  </r>
  <r>
    <s v="A17"/>
    <x v="1"/>
    <s v="2025-05-05"/>
    <x v="1"/>
    <s v="#AppleEvent #iPhone16"/>
    <s v="AppleEvent  iPhone16"/>
    <n v="10415"/>
    <n v="1388"/>
    <n v="725"/>
    <n v="2462"/>
    <n v="53082"/>
    <n v="168267"/>
    <n v="11803.00430862855"/>
    <n v="14990"/>
    <n v="8.9084609578824132"/>
    <s v="MacBook Air M3 Campaign"/>
  </r>
  <r>
    <s v="A18"/>
    <x v="1"/>
    <s v="2024-08-19"/>
    <x v="0"/>
    <s v="#AppleWatch #Health"/>
    <s v="AppleWatch  Health"/>
    <n v="15550"/>
    <n v="204"/>
    <n v="279"/>
    <n v="1646"/>
    <n v="35819"/>
    <n v="219436"/>
    <n v="15754.001271441331"/>
    <n v="17679"/>
    <n v="8.0565631892670293"/>
    <s v="Apple Watch Ultra 2 Launch"/>
  </r>
  <r>
    <s v="A19"/>
    <x v="1"/>
    <s v="2024-06-23"/>
    <x v="1"/>
    <s v="#AppleEvent #iPhone16"/>
    <s v="AppleEvent  iPhone16"/>
    <n v="16512"/>
    <n v="1050"/>
    <n v="971"/>
    <n v="1891"/>
    <n v="15865"/>
    <n v="166503"/>
    <n v="17562.005831726754"/>
    <n v="20424"/>
    <n v="12.266445649627935"/>
    <s v="iPhone 16 Launch"/>
  </r>
  <r>
    <s v="A20"/>
    <x v="0"/>
    <s v="2024-09-09"/>
    <x v="2"/>
    <s v="#AppleDesign #Innovation"/>
    <s v="AppleDesign  Innovation"/>
    <n v="6158"/>
    <n v="277"/>
    <n v="512"/>
    <n v="2189"/>
    <n v="76881"/>
    <n v="124878"/>
    <n v="6435.0041000016017"/>
    <n v="9136"/>
    <n v="7.3159403577892022"/>
    <s v="iPhone 16 Launch"/>
  </r>
  <r>
    <s v="A21"/>
    <x v="3"/>
    <d v="2025-09-08T00:00:00"/>
    <x v="3"/>
    <s v="#iPhonePhotography #ShotOniPhone"/>
    <s v="iPhonePhotography  ShotOniPhone"/>
    <n v="22309"/>
    <n v="773"/>
    <n v="854"/>
    <n v="2387"/>
    <n v="72396"/>
    <n v="97056"/>
    <n v="23082.008799043851"/>
    <n v="26323"/>
    <n v="27.121455654467525"/>
    <s v="Apple Event September 2025"/>
  </r>
  <r>
    <s v="A22"/>
    <x v="2"/>
    <s v="2025-02-27"/>
    <x v="0"/>
    <s v="#AppleMusic #AppleLifestyle"/>
    <s v="AppleMusic  AppleLifestyle"/>
    <n v="8970"/>
    <n v="331"/>
    <n v="968"/>
    <n v="2296"/>
    <n v="24613"/>
    <n v="198562"/>
    <n v="9301.0048750516216"/>
    <n v="12565"/>
    <n v="6.3279983078333215"/>
    <s v="iPhone 16 Launch"/>
  </r>
  <r>
    <s v="A23"/>
    <x v="3"/>
    <s v="2024-11-06"/>
    <x v="3"/>
    <s v="#AppleEvent #iPhone16"/>
    <s v="AppleEvent  iPhone16"/>
    <n v="8938"/>
    <n v="800"/>
    <n v="842"/>
    <n v="2072"/>
    <n v="31736"/>
    <n v="59975"/>
    <n v="9738.0140391829937"/>
    <n v="12652"/>
    <n v="21.095456440183412"/>
    <s v="iPhone 16 Launch"/>
  </r>
  <r>
    <s v="A24"/>
    <x v="1"/>
    <s v="2025-01-23"/>
    <x v="2"/>
    <s v="#iPhone16Launch #AppleEvent"/>
    <s v="iPhone16Launch  AppleEvent"/>
    <n v="23168"/>
    <n v="1265"/>
    <n v="441"/>
    <n v="1612"/>
    <n v="66615"/>
    <n v="197795"/>
    <n v="24433.002229581132"/>
    <n v="26486"/>
    <n v="13.390631714654061"/>
    <s v="iPhone 16 Launch"/>
  </r>
  <r>
    <s v="A25"/>
    <x v="1"/>
    <d v="2025-09-09T00:00:00"/>
    <x v="2"/>
    <s v="#AppleWatch #Health"/>
    <s v="AppleWatch  Health"/>
    <n v="15772"/>
    <n v="288"/>
    <n v="520"/>
    <n v="1585"/>
    <n v="59182"/>
    <n v="194351"/>
    <n v="16060.002675571517"/>
    <n v="18165"/>
    <n v="9.3464916568476628"/>
    <s v="Apple Event September 2025"/>
  </r>
  <r>
    <s v="A26"/>
    <x v="3"/>
    <s v="2025-04-05"/>
    <x v="2"/>
    <s v="#AppleWatch #Health"/>
    <s v="AppleWatch  Health"/>
    <n v="22384"/>
    <n v="601"/>
    <n v="943"/>
    <n v="515"/>
    <n v="41309"/>
    <n v="249373"/>
    <n v="22985.003781483963"/>
    <n v="24443"/>
    <n v="9.8017828714415742"/>
    <s v="Apple Watch Ultra 2 Launch"/>
  </r>
  <r>
    <s v="A27"/>
    <x v="3"/>
    <s v="2024-09-17"/>
    <x v="1"/>
    <s v="#iPhone16Launch #AppleEvent"/>
    <s v="iPhone16Launch  AppleEvent"/>
    <n v="20017"/>
    <n v="495"/>
    <n v="178"/>
    <n v="2683"/>
    <n v="32244"/>
    <n v="182633"/>
    <n v="20512.000974632185"/>
    <n v="23373"/>
    <n v="12.797796674204553"/>
    <s v="Apple Watch Ultra 2 Launch"/>
  </r>
  <r>
    <s v="A28"/>
    <x v="3"/>
    <s v="2025-03-04"/>
    <x v="1"/>
    <s v="#ShotOniPhone"/>
    <s v="ShotOniPhone"/>
    <n v="12344"/>
    <n v="815"/>
    <n v="298"/>
    <n v="2439"/>
    <n v="6259"/>
    <n v="237133"/>
    <n v="13159.001256678741"/>
    <n v="15896"/>
    <n v="6.7034111658858118"/>
    <s v="iPhone 16 Launch"/>
  </r>
  <r>
    <s v="A29"/>
    <x v="1"/>
    <d v="2025-09-10T00:00:00"/>
    <x v="3"/>
    <s v="#MacBookProM3"/>
    <s v="MacBookProM3"/>
    <n v="9266"/>
    <n v="999"/>
    <n v="928"/>
    <n v="2700"/>
    <n v="12264"/>
    <n v="128397"/>
    <n v="10265.007227583199"/>
    <n v="13893"/>
    <n v="10.820346269772658"/>
    <s v="Apple Event September 2025"/>
  </r>
  <r>
    <s v="A30"/>
    <x v="1"/>
    <s v="2025-02-25"/>
    <x v="3"/>
    <s v="#iPhonePhotography #ShotOniPhone"/>
    <s v="iPhonePhotography  ShotOniPhone"/>
    <n v="10702"/>
    <n v="621"/>
    <n v="445"/>
    <n v="2918"/>
    <n v="54808"/>
    <n v="220225"/>
    <n v="11323.002020660688"/>
    <n v="14686"/>
    <n v="6.6686343512316952"/>
    <s v="Apple Watch Ultra 2 Launch"/>
  </r>
  <r>
    <s v="A31"/>
    <x v="2"/>
    <s v="2024-12-16"/>
    <x v="0"/>
    <s v="#AppleEvent #iPadPro"/>
    <s v="AppleEvent  iPadPro"/>
    <n v="2384"/>
    <n v="1246"/>
    <n v="160"/>
    <n v="2004"/>
    <n v="2701"/>
    <n v="73142"/>
    <n v="3630.0021875256352"/>
    <n v="5794"/>
    <n v="7.9215772059828824"/>
    <s v="Apple Watch Ultra 2 Launch"/>
  </r>
  <r>
    <s v="A32"/>
    <x v="2"/>
    <s v="2024-07-31"/>
    <x v="0"/>
    <s v="#AppleEvent #iPhone16"/>
    <s v="AppleEvent  iPhone16"/>
    <n v="2404"/>
    <n v="774"/>
    <n v="661"/>
    <n v="662"/>
    <n v="12676"/>
    <n v="66916"/>
    <n v="3178.0098780560702"/>
    <n v="4501"/>
    <n v="6.7263434754019968"/>
    <s v="Apple Watch Ultra 2 Launch"/>
  </r>
  <r>
    <s v="A33"/>
    <x v="1"/>
    <d v="2025-09-11T00:00:00"/>
    <x v="3"/>
    <s v="#iPhone16Launch #AppleEvent"/>
    <s v="iPhone16Launch  AppleEvent"/>
    <n v="10175"/>
    <n v="342"/>
    <n v="825"/>
    <n v="2904"/>
    <n v="15954"/>
    <n v="104324"/>
    <n v="10517.007908055673"/>
    <n v="14246"/>
    <n v="13.655534680418697"/>
    <s v="Apple Event September 2025"/>
  </r>
  <r>
    <s v="A34"/>
    <x v="3"/>
    <d v="2025-09-12T00:00:00"/>
    <x v="1"/>
    <s v="#AppleDesign #Innovation"/>
    <s v="AppleDesign  Innovation"/>
    <n v="17158"/>
    <n v="1192"/>
    <n v="262"/>
    <n v="2016"/>
    <n v="28771"/>
    <n v="216037"/>
    <n v="18350.001212755222"/>
    <n v="20628"/>
    <n v="9.5483644005424999"/>
    <s v="Apple Event September 2025"/>
  </r>
  <r>
    <s v="A35"/>
    <x v="3"/>
    <s v="2024-11-30"/>
    <x v="2"/>
    <s v="#AppleEvent #iPhone16"/>
    <s v="AppleEvent  iPhone16"/>
    <n v="14763"/>
    <n v="864"/>
    <n v="336"/>
    <n v="1493"/>
    <n v="33310"/>
    <n v="165932"/>
    <n v="15627.002024925874"/>
    <n v="17456"/>
    <n v="10.519972036737942"/>
    <s v="iPhone 16 Launch"/>
  </r>
  <r>
    <s v="A36"/>
    <x v="2"/>
    <s v="2025-04-19"/>
    <x v="3"/>
    <s v="#MacBookProM3"/>
    <s v="MacBookProM3"/>
    <n v="20384"/>
    <n v="344"/>
    <n v="956"/>
    <n v="655"/>
    <n v="67621"/>
    <n v="175720"/>
    <n v="20728.00544047348"/>
    <n v="22339"/>
    <n v="12.712838606874573"/>
    <s v="Sustainability Awareness Drive"/>
  </r>
  <r>
    <s v="A37"/>
    <x v="1"/>
    <s v="2025-01-06"/>
    <x v="0"/>
    <s v="#AppleDesign #Innovation"/>
    <s v="AppleDesign  Innovation"/>
    <n v="11860"/>
    <n v="1448"/>
    <n v="893"/>
    <n v="490"/>
    <n v="23518"/>
    <n v="206205"/>
    <n v="13308.004330641837"/>
    <n v="14691"/>
    <n v="7.1244635193133048"/>
    <s v="Apple Watch Ultra 2 Launch"/>
  </r>
  <r>
    <s v="A38"/>
    <x v="2"/>
    <s v="2025-02-17"/>
    <x v="1"/>
    <s v="#MacBookAirM3 #AppleInnovation"/>
    <s v="MacBookAirM3  AppleInnovation"/>
    <n v="7989"/>
    <n v="1206"/>
    <n v="376"/>
    <n v="2769"/>
    <n v="27550"/>
    <n v="221749"/>
    <n v="9195.0016956108029"/>
    <n v="12340"/>
    <n v="5.5648503488178074"/>
    <s v="Sustainability Awareness Drive"/>
  </r>
  <r>
    <s v="A39"/>
    <x v="2"/>
    <d v="2025-09-13T00:00:00"/>
    <x v="3"/>
    <s v="#AppleMusic #AppleLifestyle"/>
    <s v="AppleMusic  AppleLifestyle"/>
    <n v="17106"/>
    <n v="702"/>
    <n v="459"/>
    <n v="999"/>
    <n v="59627"/>
    <n v="136059"/>
    <n v="17808.003373536481"/>
    <n v="19266"/>
    <n v="14.160033514872225"/>
    <s v="Apple Event September 2025"/>
  </r>
  <r>
    <s v="A40"/>
    <x v="0"/>
    <d v="2025-09-14T00:00:00"/>
    <x v="3"/>
    <s v="#AppleWatch #Health"/>
    <s v="AppleWatch  Health"/>
    <n v="19844"/>
    <n v="1020"/>
    <n v="247"/>
    <n v="2354"/>
    <n v="37792"/>
    <n v="138317"/>
    <n v="20864.001785753018"/>
    <n v="23465"/>
    <n v="16.964653657901778"/>
    <s v="Apple Event September 2025"/>
  </r>
  <r>
    <s v="A41"/>
    <x v="0"/>
    <d v="2025-09-15T00:00:00"/>
    <x v="1"/>
    <s v="#MacBookAirM3 #AppleInnovation"/>
    <s v="MacBookAirM3  AppleInnovation"/>
    <n v="5636"/>
    <n v="303"/>
    <n v="204"/>
    <n v="2480"/>
    <n v="7377"/>
    <n v="241207"/>
    <n v="5939.0008457465992"/>
    <n v="8623"/>
    <n v="3.5749377091046282"/>
    <s v="Apple Event September 2025"/>
  </r>
  <r>
    <s v="A42"/>
    <x v="0"/>
    <s v="2025-03-05"/>
    <x v="3"/>
    <s v="#AppleEvent #iPhone16"/>
    <s v="AppleEvent  iPhone16"/>
    <n v="12916"/>
    <n v="1262"/>
    <n v="772"/>
    <n v="856"/>
    <n v="11496"/>
    <n v="75046"/>
    <n v="14178.010287023959"/>
    <n v="15806"/>
    <n v="21.061748794072969"/>
    <s v="Sustainability Awareness Drive"/>
  </r>
  <r>
    <s v="A43"/>
    <x v="3"/>
    <d v="2025-09-16T00:00:00"/>
    <x v="1"/>
    <s v="#MacBookProM3"/>
    <s v="MacBookProM3"/>
    <n v="6809"/>
    <n v="397"/>
    <n v="813"/>
    <n v="1125"/>
    <n v="12206"/>
    <n v="218136"/>
    <n v="7206.0037270326766"/>
    <n v="9144"/>
    <n v="4.1918802948619209"/>
    <s v="Apple Event September 2025"/>
  </r>
  <r>
    <s v="A44"/>
    <x v="1"/>
    <s v="2025-03-02"/>
    <x v="2"/>
    <s v="#iPhonePhotography #ShotOniPhone"/>
    <s v="iPhonePhotography  ShotOniPhone"/>
    <n v="22562"/>
    <n v="778"/>
    <n v="907"/>
    <n v="1354"/>
    <n v="34475"/>
    <n v="141459"/>
    <n v="23340.006411751816"/>
    <n v="25601"/>
    <n v="18.097823397592236"/>
    <s v="iPhone 16 Launch"/>
  </r>
  <r>
    <s v="A45"/>
    <x v="1"/>
    <d v="2025-09-17T00:00:00"/>
    <x v="1"/>
    <s v="#AppleMusic #AppleLifestyle"/>
    <s v="AppleMusic  AppleLifestyle"/>
    <n v="15456"/>
    <n v="590"/>
    <n v="555"/>
    <n v="2882"/>
    <n v="49816"/>
    <n v="240422"/>
    <n v="16046.002308440991"/>
    <n v="19483"/>
    <n v="8.1036677175965597"/>
    <s v="Apple Event September 2025"/>
  </r>
  <r>
    <s v="A46"/>
    <x v="1"/>
    <s v="2025-05-02"/>
    <x v="1"/>
    <s v="#AppleEvent #iPhone16"/>
    <s v="AppleEvent  iPhone16"/>
    <n v="17444"/>
    <n v="1402"/>
    <n v="218"/>
    <n v="725"/>
    <n v="8710"/>
    <n v="85893"/>
    <n v="18846.002538041517"/>
    <n v="19789"/>
    <n v="23.039130080448931"/>
    <s v="MacBook Air M3 Campaign"/>
  </r>
  <r>
    <s v="A47"/>
    <x v="1"/>
    <s v="2025-02-24"/>
    <x v="1"/>
    <s v="#iPhone16Launch #AppleEvent"/>
    <s v="iPhone16Launch  AppleEvent"/>
    <n v="24984"/>
    <n v="753"/>
    <n v="461"/>
    <n v="2710"/>
    <n v="20792"/>
    <n v="141520"/>
    <n v="25737.003257490109"/>
    <n v="28908"/>
    <n v="20.426794799321652"/>
    <s v="Sustainability Awareness Drive"/>
  </r>
  <r>
    <s v="A48"/>
    <x v="0"/>
    <s v="2025-03-11"/>
    <x v="3"/>
    <s v="#AppleWatchUltra2 #HealthTech"/>
    <s v="AppleWatchUltra2  HealthTech"/>
    <n v="7997"/>
    <n v="1238"/>
    <n v="438"/>
    <n v="1874"/>
    <n v="36272"/>
    <n v="165818"/>
    <n v="9235.0026414502645"/>
    <n v="11547"/>
    <n v="6.9636589513804292"/>
    <s v="MacBook Air M3 Campaign"/>
  </r>
  <r>
    <s v="A49"/>
    <x v="3"/>
    <d v="2025-09-18T00:00:00"/>
    <x v="3"/>
    <s v="#AppleEvent #iPhone16"/>
    <s v="AppleEvent  iPhone16"/>
    <n v="4048"/>
    <n v="677"/>
    <n v="911"/>
    <n v="2429"/>
    <n v="27361"/>
    <n v="101272"/>
    <n v="4725.0089955762696"/>
    <n v="8065"/>
    <n v="7.9637017141954338"/>
    <s v="Apple Event September 2025"/>
  </r>
  <r>
    <s v="A50"/>
    <x v="3"/>
    <s v="2024-07-03"/>
    <x v="1"/>
    <s v="#AppleMusic #AppleLifestyle"/>
    <s v="AppleMusic  AppleLifestyle"/>
    <n v="14338"/>
    <n v="1454"/>
    <n v="697"/>
    <n v="2703"/>
    <n v="21288"/>
    <n v="107649"/>
    <n v="15792.006474746629"/>
    <n v="19192"/>
    <n v="17.828312385623647"/>
    <s v="iPhone 16 Launch"/>
  </r>
  <r>
    <s v="A51"/>
    <x v="0"/>
    <s v="2024-06-13"/>
    <x v="3"/>
    <s v="#AppleWatch #Health"/>
    <s v="AppleWatch  Health"/>
    <n v="23164"/>
    <n v="1122"/>
    <n v="900"/>
    <n v="888"/>
    <n v="36938"/>
    <n v="104674"/>
    <n v="24286.008598123699"/>
    <n v="26074"/>
    <n v="24.909719701167436"/>
    <s v="Apple Watch Ultra 2 Launch"/>
  </r>
  <r>
    <s v="A52"/>
    <x v="3"/>
    <d v="2025-09-19T00:00:00"/>
    <x v="0"/>
    <s v="#AppleWatch #Health"/>
    <s v="AppleWatch  Health"/>
    <n v="19100"/>
    <n v="619"/>
    <n v="297"/>
    <n v="2312"/>
    <n v="9730"/>
    <n v="184832"/>
    <n v="19719.001606864611"/>
    <n v="22328"/>
    <n v="12.080159279778394"/>
    <s v="Apple Event September 2025"/>
  </r>
  <r>
    <s v="A53"/>
    <x v="0"/>
    <s v="2025-02-24"/>
    <x v="0"/>
    <s v="#AppleEvent #iPhone16"/>
    <s v="AppleEvent  iPhone16"/>
    <n v="23949"/>
    <n v="356"/>
    <n v="616"/>
    <n v="1847"/>
    <n v="3144"/>
    <n v="192999"/>
    <n v="24305.00319172638"/>
    <n v="26768"/>
    <n v="13.869501914517693"/>
    <s v="iPhone 16 Launch"/>
  </r>
  <r>
    <s v="A54"/>
    <x v="1"/>
    <s v="2025-03-13"/>
    <x v="3"/>
    <s v="#AppleDesign #Innovation"/>
    <s v="AppleDesign  Innovation"/>
    <n v="6544"/>
    <n v="749"/>
    <n v="888"/>
    <n v="594"/>
    <n v="18171"/>
    <n v="126475"/>
    <n v="7293.0070211504253"/>
    <n v="8775"/>
    <n v="6.9381300652302826"/>
    <s v="Sustainability Awareness Drive"/>
  </r>
  <r>
    <s v="A55"/>
    <x v="0"/>
    <s v="2024-06-17"/>
    <x v="3"/>
    <s v="#AppleWatchUltra2 #HealthTech"/>
    <s v="AppleWatchUltra2  HealthTech"/>
    <n v="6976"/>
    <n v="1320"/>
    <n v="393"/>
    <n v="2285"/>
    <n v="14049"/>
    <n v="101367"/>
    <n v="8296.0038770013907"/>
    <n v="10974"/>
    <n v="10.826008464293114"/>
    <s v="MacBook Air M3 Campaign"/>
  </r>
  <r>
    <s v="A56"/>
    <x v="1"/>
    <s v="2024-12-18"/>
    <x v="1"/>
    <s v="#iPhone16Launch #AppleEvent"/>
    <s v="iPhone16Launch  AppleEvent"/>
    <n v="14775"/>
    <n v="1220"/>
    <n v="640"/>
    <n v="1547"/>
    <n v="28527"/>
    <n v="183660"/>
    <n v="15995.00348469999"/>
    <n v="18182"/>
    <n v="9.8998148753130781"/>
    <s v="MacBook Air M3 Campaign"/>
  </r>
  <r>
    <s v="A57"/>
    <x v="1"/>
    <s v="2024-10-21"/>
    <x v="2"/>
    <s v="#AppleEvent #iPhone16"/>
    <s v="AppleEvent  iPhone16"/>
    <n v="12015"/>
    <n v="1196"/>
    <n v="998"/>
    <n v="1848"/>
    <n v="44739"/>
    <n v="161750"/>
    <n v="13211.006170015457"/>
    <n v="16057"/>
    <n v="9.9270479134466765"/>
    <s v="MacBook Air M3 Campaign"/>
  </r>
  <r>
    <s v="A58"/>
    <x v="2"/>
    <s v="2025-04-15"/>
    <x v="3"/>
    <s v="#AppleDesign #Innovation"/>
    <s v="AppleDesign  Innovation"/>
    <n v="5419"/>
    <n v="1150"/>
    <n v="656"/>
    <n v="1990"/>
    <n v="410"/>
    <n v="158154"/>
    <n v="6569.0041478558869"/>
    <n v="9215"/>
    <n v="5.8265993904675195"/>
    <s v="Sustainability Awareness Drive"/>
  </r>
  <r>
    <s v="A59"/>
    <x v="0"/>
    <s v="2024-06-22"/>
    <x v="0"/>
    <s v="#AppleWatch #Health"/>
    <s v="AppleWatch  Health"/>
    <n v="16430"/>
    <n v="488"/>
    <n v="514"/>
    <n v="1436"/>
    <n v="30059"/>
    <n v="223305"/>
    <n v="16918.002301784556"/>
    <n v="18868"/>
    <n v="8.4494301515863963"/>
    <s v="iPhone 16 Launch"/>
  </r>
  <r>
    <s v="A60"/>
    <x v="2"/>
    <s v="2025-01-28"/>
    <x v="1"/>
    <s v="#AppleWatch #Health"/>
    <s v="AppleWatch  Health"/>
    <n v="9239"/>
    <n v="1477"/>
    <n v="631"/>
    <n v="1556"/>
    <n v="11580"/>
    <n v="84738"/>
    <n v="10716.007446482097"/>
    <n v="12903"/>
    <n v="15.22693478722651"/>
    <s v="Sustainability Awareness Drive"/>
  </r>
  <r>
    <s v="A61"/>
    <x v="0"/>
    <s v="2024-09-05"/>
    <x v="3"/>
    <s v="#MacBookProM3"/>
    <s v="MacBookProM3"/>
    <n v="16489"/>
    <n v="395"/>
    <n v="350"/>
    <n v="2364"/>
    <n v="43239"/>
    <n v="73397"/>
    <n v="16884.004768587271"/>
    <n v="19598"/>
    <n v="26.701363815959777"/>
    <s v="MacBook Air M3 Campaign"/>
  </r>
  <r>
    <s v="A62"/>
    <x v="0"/>
    <d v="2025-09-20T00:00:00"/>
    <x v="0"/>
    <s v="#AppleEvent #iPhone16"/>
    <s v="AppleEvent  iPhone16"/>
    <n v="18633"/>
    <n v="797"/>
    <n v="303"/>
    <n v="659"/>
    <n v="7"/>
    <n v="122189"/>
    <n v="19430.002479764953"/>
    <n v="20392"/>
    <n v="16.68889998281351"/>
    <s v="Apple Event September 2025"/>
  </r>
  <r>
    <s v="A63"/>
    <x v="2"/>
    <s v="2024-07-31"/>
    <x v="0"/>
    <s v="#AppleWatchUltra2 #HealthTech"/>
    <s v="AppleWatchUltra2  HealthTech"/>
    <n v="12357"/>
    <n v="716"/>
    <n v="599"/>
    <n v="999"/>
    <n v="89591"/>
    <n v="116367"/>
    <n v="13073.005147507454"/>
    <n v="14671"/>
    <n v="12.607526188696108"/>
    <s v="Apple Watch Ultra 2 Launch"/>
  </r>
  <r>
    <s v="A64"/>
    <x v="2"/>
    <s v="2024-08-17"/>
    <x v="2"/>
    <s v="#ShotOniPhone"/>
    <s v="ShotOniPhone"/>
    <n v="19154"/>
    <n v="1064"/>
    <n v="650"/>
    <n v="747"/>
    <n v="42667"/>
    <n v="242332"/>
    <n v="20218.002682270602"/>
    <n v="21615"/>
    <n v="8.9195814007229757"/>
    <s v="Sustainability Awareness Drive"/>
  </r>
  <r>
    <s v="A65"/>
    <x v="0"/>
    <s v="2025-03-28"/>
    <x v="1"/>
    <s v="#AppleWatchUltra2 #HealthTech"/>
    <s v="AppleWatchUltra2  HealthTech"/>
    <n v="6363"/>
    <n v="1341"/>
    <n v="222"/>
    <n v="2712"/>
    <n v="19987"/>
    <n v="160585"/>
    <n v="7704.0013824454336"/>
    <n v="10638"/>
    <n v="6.6245290656038858"/>
    <s v="Sustainability Awareness Drive"/>
  </r>
  <r>
    <s v="A66"/>
    <x v="3"/>
    <s v="2024-07-26"/>
    <x v="1"/>
    <s v="#AppleWatch #Health"/>
    <s v="AppleWatch  Health"/>
    <n v="12176"/>
    <n v="1005"/>
    <n v="862"/>
    <n v="974"/>
    <n v="2285"/>
    <n v="116619"/>
    <n v="13181.007391591422"/>
    <n v="15017"/>
    <n v="12.876975449969558"/>
    <s v="iPhone 16 Launch"/>
  </r>
  <r>
    <s v="A67"/>
    <x v="1"/>
    <s v="2025-03-29"/>
    <x v="2"/>
    <s v="#AppleWatch #Health"/>
    <s v="AppleWatch  Health"/>
    <n v="19461"/>
    <n v="1382"/>
    <n v="445"/>
    <n v="1307"/>
    <n v="84691"/>
    <n v="151453"/>
    <n v="20843.002938205253"/>
    <n v="22595"/>
    <n v="14.918819699840874"/>
    <s v="iPhone 16 Launch"/>
  </r>
  <r>
    <s v="A68"/>
    <x v="2"/>
    <s v="2024-12-08"/>
    <x v="2"/>
    <s v="#MacBookAirM3 #AppleInnovation"/>
    <s v="MacBookAirM3  AppleInnovation"/>
    <n v="10427"/>
    <n v="1014"/>
    <n v="166"/>
    <n v="1649"/>
    <n v="15145"/>
    <n v="59816"/>
    <n v="11441.00277517721"/>
    <n v="13256"/>
    <n v="22.161294636886453"/>
    <s v="Sustainability Awareness Drive"/>
  </r>
  <r>
    <s v="A69"/>
    <x v="1"/>
    <s v="2025-03-08"/>
    <x v="1"/>
    <s v="#AppleWatch #Health"/>
    <s v="AppleWatch  Health"/>
    <n v="10580"/>
    <n v="427"/>
    <n v="790"/>
    <n v="2814"/>
    <n v="24916"/>
    <n v="213312"/>
    <n v="11007.003703495349"/>
    <n v="14611"/>
    <n v="6.8495912091209119"/>
    <s v="MacBook Air M3 Campaign"/>
  </r>
  <r>
    <s v="A70"/>
    <x v="3"/>
    <s v="2025-04-02"/>
    <x v="1"/>
    <s v="#iPhone16Launch #AppleEvent"/>
    <s v="iPhone16Launch  AppleEvent"/>
    <n v="6858"/>
    <n v="415"/>
    <n v="366"/>
    <n v="2761"/>
    <n v="2988"/>
    <n v="177348"/>
    <n v="7273.002063739089"/>
    <n v="10400"/>
    <n v="5.8641766470442294"/>
    <s v="Apple Watch Ultra 2 Launch"/>
  </r>
  <r>
    <s v="A71"/>
    <x v="3"/>
    <s v="2024-09-02"/>
    <x v="3"/>
    <s v="#AppleEvent #iPadPro"/>
    <s v="AppleEvent  iPadPro"/>
    <n v="12040"/>
    <n v="1147"/>
    <n v="210"/>
    <n v="885"/>
    <n v="30360"/>
    <n v="119530"/>
    <n v="13187.001756881118"/>
    <n v="14282"/>
    <n v="11.948464820547143"/>
    <s v="iPhone 16 Launch"/>
  </r>
  <r>
    <s v="A72"/>
    <x v="3"/>
    <s v="2025-03-03"/>
    <x v="3"/>
    <s v="#AppleEvent #iPhone16"/>
    <s v="AppleEvent  iPhone16"/>
    <n v="24928"/>
    <n v="214"/>
    <n v="765"/>
    <n v="1556"/>
    <n v="5239"/>
    <n v="194571"/>
    <n v="25142.003931726722"/>
    <n v="27463"/>
    <n v="14.114641955892706"/>
    <s v="MacBook Air M3 Campaign"/>
  </r>
  <r>
    <s v="A73"/>
    <x v="2"/>
    <d v="2025-09-21T00:00:00"/>
    <x v="2"/>
    <s v="#AppleWatchUltra2 #HealthTech"/>
    <s v="AppleWatchUltra2  HealthTech"/>
    <n v="23103"/>
    <n v="1380"/>
    <n v="191"/>
    <n v="1547"/>
    <n v="77798"/>
    <n v="148856"/>
    <n v="24483.001283119258"/>
    <n v="26221"/>
    <n v="17.615010479926909"/>
    <s v="Apple Event September 2025"/>
  </r>
  <r>
    <s v="A74"/>
    <x v="3"/>
    <s v="2024-10-28"/>
    <x v="3"/>
    <s v="#AppleEvent #iPadPro"/>
    <s v="AppleEvent  iPadPro"/>
    <n v="21198"/>
    <n v="1484"/>
    <n v="174"/>
    <n v="1293"/>
    <n v="16330"/>
    <n v="111635"/>
    <n v="22682.001558650962"/>
    <n v="24149"/>
    <n v="21.63210462668518"/>
    <s v="iPhone 16 Launch"/>
  </r>
  <r>
    <s v="A75"/>
    <x v="2"/>
    <s v="2024-08-01"/>
    <x v="0"/>
    <s v="#AppleDesign #Innovation"/>
    <s v="AppleDesign  Innovation"/>
    <n v="21758"/>
    <n v="1380"/>
    <n v="188"/>
    <n v="1735"/>
    <n v="20998"/>
    <n v="147803"/>
    <n v="23138.001271963356"/>
    <n v="25061"/>
    <n v="16.955677489631469"/>
    <s v="MacBook Air M3 Campaign"/>
  </r>
  <r>
    <s v="A76"/>
    <x v="3"/>
    <s v="2024-11-07"/>
    <x v="3"/>
    <s v="#ShotOniPhone"/>
    <s v="ShotOniPhone"/>
    <n v="17254"/>
    <n v="246"/>
    <n v="952"/>
    <n v="871"/>
    <n v="14957"/>
    <n v="75946"/>
    <n v="17500.012535222395"/>
    <n v="19323"/>
    <n v="25.443077976456959"/>
    <s v="MacBook Air M3 Campaign"/>
  </r>
  <r>
    <s v="A77"/>
    <x v="1"/>
    <s v="2025-03-04"/>
    <x v="3"/>
    <s v="#iPhone16Launch #AppleEvent"/>
    <s v="iPhone16Launch  AppleEvent"/>
    <n v="13470"/>
    <n v="523"/>
    <n v="280"/>
    <n v="2682"/>
    <n v="8538"/>
    <n v="95204"/>
    <n v="13993.002941052897"/>
    <n v="16955"/>
    <n v="17.809125666988781"/>
    <s v="Apple Watch Ultra 2 Launch"/>
  </r>
  <r>
    <s v="A78"/>
    <x v="1"/>
    <s v="2024-06-17"/>
    <x v="0"/>
    <s v="#AppleMusic #AppleLifestyle"/>
    <s v="AppleMusic  AppleLifestyle"/>
    <n v="3252"/>
    <n v="1043"/>
    <n v="647"/>
    <n v="1545"/>
    <n v="18859"/>
    <n v="222958"/>
    <n v="4295.0029018918358"/>
    <n v="6487"/>
    <n v="2.9095165905686273"/>
    <s v="Apple Watch Ultra 2 Launch"/>
  </r>
  <r>
    <s v="A79"/>
    <x v="0"/>
    <d v="2025-09-22T00:00:00"/>
    <x v="2"/>
    <s v="#Sustainability #AppleEarth"/>
    <s v="Sustainability  AppleEarth"/>
    <n v="8996"/>
    <n v="329"/>
    <n v="378"/>
    <n v="2384"/>
    <n v="39404"/>
    <n v="242724"/>
    <n v="9325.0015573243691"/>
    <n v="12087"/>
    <n v="4.9797300637761408"/>
    <s v="Apple Event September 2025"/>
  </r>
  <r>
    <s v="A80"/>
    <x v="1"/>
    <s v="2024-06-13"/>
    <x v="0"/>
    <s v="#AppleWatchUltra2 #HealthTech"/>
    <s v="AppleWatchUltra2  HealthTech"/>
    <n v="14173"/>
    <n v="294"/>
    <n v="257"/>
    <n v="1288"/>
    <n v="39466"/>
    <n v="55563"/>
    <n v="14467.004625380199"/>
    <n v="16012"/>
    <n v="28.81773842305131"/>
    <s v="MacBook Air M3 Campaign"/>
  </r>
  <r>
    <s v="A81"/>
    <x v="0"/>
    <s v="2024-10-19"/>
    <x v="3"/>
    <s v="#AppleEvent #iPadPro"/>
    <s v="AppleEvent  iPadPro"/>
    <n v="6673"/>
    <n v="826"/>
    <n v="321"/>
    <n v="577"/>
    <n v="19262"/>
    <n v="132324"/>
    <n v="7499.0024258637886"/>
    <n v="8397"/>
    <n v="6.3457876122245391"/>
    <s v="MacBook Air M3 Campaign"/>
  </r>
  <r>
    <s v="A82"/>
    <x v="1"/>
    <s v="2024-07-24"/>
    <x v="2"/>
    <s v="#AppleMusic #AppleLifestyle"/>
    <s v="AppleMusic  AppleLifestyle"/>
    <n v="22914"/>
    <n v="954"/>
    <n v="584"/>
    <n v="1519"/>
    <n v="13637"/>
    <n v="49847"/>
    <n v="23868.011715850502"/>
    <n v="25971"/>
    <n v="52.101430376953473"/>
    <s v="Apple Watch Ultra 2 Launch"/>
  </r>
  <r>
    <s v="A83"/>
    <x v="2"/>
    <s v="2024-10-15"/>
    <x v="3"/>
    <s v="#ShotOniPhone"/>
    <s v="ShotOniPhone"/>
    <n v="17781"/>
    <n v="993"/>
    <n v="627"/>
    <n v="2187"/>
    <n v="9609"/>
    <n v="66155"/>
    <n v="18774.009477741667"/>
    <n v="21588"/>
    <n v="32.63245408510317"/>
    <s v="iPhone 16 Launch"/>
  </r>
  <r>
    <s v="A84"/>
    <x v="1"/>
    <s v="2024-12-09"/>
    <x v="0"/>
    <s v="#MacBookAirM3 #AppleInnovation"/>
    <s v="MacBookAirM3  AppleInnovation"/>
    <n v="15051"/>
    <n v="268"/>
    <n v="251"/>
    <n v="783"/>
    <n v="34154"/>
    <n v="119671"/>
    <n v="15319.002097417086"/>
    <n v="16353"/>
    <n v="13.664964778434207"/>
    <s v="iPhone 16 Launch"/>
  </r>
  <r>
    <s v="A85"/>
    <x v="0"/>
    <s v="2025-04-19"/>
    <x v="0"/>
    <s v="#AppleMusic #AppleLifestyle"/>
    <s v="AppleMusic  AppleLifestyle"/>
    <n v="8881"/>
    <n v="210"/>
    <n v="673"/>
    <n v="1565"/>
    <n v="24847"/>
    <n v="156891"/>
    <n v="9091.0042896023351"/>
    <n v="11329"/>
    <n v="7.2209368287537217"/>
    <s v="Sustainability Awareness Drive"/>
  </r>
  <r>
    <s v="A86"/>
    <x v="0"/>
    <s v="2025-01-27"/>
    <x v="3"/>
    <s v="#iPhone16Launch #AppleEvent"/>
    <s v="iPhone16Launch  AppleEvent"/>
    <n v="8949"/>
    <n v="1477"/>
    <n v="424"/>
    <n v="1030"/>
    <n v="58052"/>
    <n v="123310"/>
    <n v="10426.003438488362"/>
    <n v="11880"/>
    <n v="9.6342551293487961"/>
    <s v="Apple Watch Ultra 2 Launch"/>
  </r>
  <r>
    <s v="A87"/>
    <x v="3"/>
    <s v="2024-06-06"/>
    <x v="1"/>
    <s v="#iPhone16Launch #AppleEvent"/>
    <s v="iPhone16Launch  AppleEvent"/>
    <n v="11521"/>
    <n v="1071"/>
    <n v="762"/>
    <n v="2539"/>
    <n v="12701"/>
    <n v="238350"/>
    <n v="12592.003196979233"/>
    <n v="15893"/>
    <n v="6.6679253199076989"/>
    <s v="Sustainability Awareness Drive"/>
  </r>
  <r>
    <s v="A88"/>
    <x v="2"/>
    <s v="2024-07-07"/>
    <x v="1"/>
    <s v="#MacBookAirM3 #AppleInnovation"/>
    <s v="MacBookAirM3  AppleInnovation"/>
    <n v="24625"/>
    <n v="749"/>
    <n v="193"/>
    <n v="1340"/>
    <n v="4890"/>
    <n v="189381"/>
    <n v="25374.001019109626"/>
    <n v="26907"/>
    <n v="14.207866681451678"/>
    <s v="Apple Watch Ultra 2 Launch"/>
  </r>
  <r>
    <s v="A89"/>
    <x v="1"/>
    <d v="2025-09-23T00:00:00"/>
    <x v="0"/>
    <s v="#Sustainability #AppleEarth"/>
    <s v="Sustainability  AppleEarth"/>
    <n v="10017"/>
    <n v="1357"/>
    <n v="966"/>
    <n v="2871"/>
    <n v="14800"/>
    <n v="171691"/>
    <n v="11374.005626386939"/>
    <n v="15211"/>
    <n v="8.8595208834475887"/>
    <s v="Apple Event September 2025"/>
  </r>
  <r>
    <s v="A90"/>
    <x v="3"/>
    <s v="2024-06-03"/>
    <x v="0"/>
    <s v="#AppleEvent #iPhone16"/>
    <s v="AppleEvent  iPhone16"/>
    <n v="8941"/>
    <n v="911"/>
    <n v="166"/>
    <n v="1217"/>
    <n v="68817"/>
    <n v="221180"/>
    <n v="9852.0007505199392"/>
    <n v="11235"/>
    <n v="5.079573198300027"/>
    <s v="MacBook Air M3 Campaign"/>
  </r>
  <r>
    <s v="A91"/>
    <x v="1"/>
    <d v="2025-09-24T00:00:00"/>
    <x v="1"/>
    <s v="#AppleMusic #AppleLifestyle"/>
    <s v="AppleMusic  AppleLifestyle"/>
    <n v="12209"/>
    <n v="222"/>
    <n v="479"/>
    <n v="2748"/>
    <n v="24615"/>
    <n v="74707"/>
    <n v="12431.0064117151"/>
    <n v="15658"/>
    <n v="20.959213996011083"/>
    <s v="Apple Event September 2025"/>
  </r>
  <r>
    <s v="A92"/>
    <x v="1"/>
    <s v="2024-10-21"/>
    <x v="1"/>
    <s v="#MacBookAirM3 #AppleInnovation"/>
    <s v="MacBookAirM3  AppleInnovation"/>
    <n v="19715"/>
    <n v="1014"/>
    <n v="718"/>
    <n v="1185"/>
    <n v="37625"/>
    <n v="191409"/>
    <n v="20729.003751129781"/>
    <n v="22632"/>
    <n v="11.823895428114666"/>
    <s v="Apple Watch Ultra 2 Launch"/>
  </r>
  <r>
    <s v="A93"/>
    <x v="3"/>
    <s v="2024-12-11"/>
    <x v="3"/>
    <s v="#iPhone16Launch #AppleEvent"/>
    <s v="iPhone16Launch  AppleEvent"/>
    <n v="22645"/>
    <n v="545"/>
    <n v="972"/>
    <n v="321"/>
    <n v="8396"/>
    <n v="121537"/>
    <n v="23190.007997564528"/>
    <n v="24483"/>
    <n v="20.14448275010902"/>
    <s v="MacBook Air M3 Campaign"/>
  </r>
  <r>
    <s v="A94"/>
    <x v="3"/>
    <s v="2024-11-07"/>
    <x v="3"/>
    <s v="#iPhone16Launch #AppleEvent"/>
    <s v="iPhone16Launch  AppleEvent"/>
    <n v="11550"/>
    <n v="501"/>
    <n v="646"/>
    <n v="773"/>
    <n v="17841"/>
    <n v="237576"/>
    <n v="12051.002719129878"/>
    <n v="13470"/>
    <n v="5.6697646226891605"/>
    <s v="iPhone 16 Launch"/>
  </r>
  <r>
    <s v="A95"/>
    <x v="3"/>
    <s v="2024-11-08"/>
    <x v="1"/>
    <s v="#AppleEvent #iPadPro"/>
    <s v="AppleEvent  iPadPro"/>
    <n v="23499"/>
    <n v="562"/>
    <n v="964"/>
    <n v="2557"/>
    <n v="56890"/>
    <n v="218686"/>
    <n v="24061.00440814684"/>
    <n v="27582"/>
    <n v="12.612604373393815"/>
    <s v="iPhone 16 Launch"/>
  </r>
  <r>
    <s v="A96"/>
    <x v="3"/>
    <s v="2024-09-10"/>
    <x v="3"/>
    <s v="#AppleWatch #Health"/>
    <s v="AppleWatch  Health"/>
    <n v="6637"/>
    <n v="595"/>
    <n v="161"/>
    <n v="2653"/>
    <n v="19334"/>
    <n v="131155"/>
    <n v="7232.0012275551826"/>
    <n v="10046"/>
    <n v="7.6596393580115132"/>
    <s v="Sustainability Awareness Drive"/>
  </r>
  <r>
    <s v="A97"/>
    <x v="3"/>
    <s v="2024-08-13"/>
    <x v="3"/>
    <s v="#Sustainability #AppleEarth"/>
    <s v="Sustainability  AppleEarth"/>
    <n v="6854"/>
    <n v="417"/>
    <n v="467"/>
    <n v="1003"/>
    <n v="61333"/>
    <n v="40281"/>
    <n v="7271.011593555274"/>
    <n v="8741"/>
    <n v="21.700057098880364"/>
    <s v="Apple Watch Ultra 2 Launch"/>
  </r>
  <r>
    <s v="A98"/>
    <x v="1"/>
    <s v="2024-06-10"/>
    <x v="2"/>
    <s v="#AppleMusic #AppleLifestyle"/>
    <s v="AppleMusic  AppleLifestyle"/>
    <n v="21561"/>
    <n v="340"/>
    <n v="741"/>
    <n v="986"/>
    <n v="24826"/>
    <n v="198492"/>
    <n v="21901.003733147936"/>
    <n v="23628"/>
    <n v="11.903754307478387"/>
    <s v="Apple Watch Ultra 2 Launch"/>
  </r>
  <r>
    <s v="A99"/>
    <x v="3"/>
    <s v="2024-07-02"/>
    <x v="3"/>
    <s v="#AppleMusic #AppleLifestyle"/>
    <s v="AppleMusic  AppleLifestyle"/>
    <n v="12320"/>
    <n v="1157"/>
    <n v="365"/>
    <n v="584"/>
    <n v="66634"/>
    <n v="210102"/>
    <n v="13477.00173725143"/>
    <n v="14426"/>
    <n v="6.8661888035335208"/>
    <s v="iPhone 16 Launch"/>
  </r>
  <r>
    <s v="A100"/>
    <x v="2"/>
    <d v="2025-09-25T00:00:00"/>
    <x v="0"/>
    <s v="#ShotOniPhone"/>
    <s v="ShotOniPhone"/>
    <n v="20564"/>
    <n v="1433"/>
    <n v="488"/>
    <n v="1015"/>
    <n v="24333"/>
    <n v="172130"/>
    <n v="21997.00283506652"/>
    <n v="23500"/>
    <n v="13.652471968860743"/>
    <s v="Apple Event September 2025"/>
  </r>
  <r>
    <s v="A101"/>
    <x v="0"/>
    <s v="2024-10-18"/>
    <x v="3"/>
    <s v="#MacBookAirM3 #AppleInnovation"/>
    <s v="MacBookAirM3  AppleInnovation"/>
    <n v="6892"/>
    <n v="1184"/>
    <n v="925"/>
    <n v="1062"/>
    <n v="75008"/>
    <n v="116260"/>
    <n v="8076.0079563048339"/>
    <n v="10063"/>
    <n v="8.6555995183210044"/>
    <s v="MacBook Air M3 Campaign"/>
  </r>
  <r>
    <s v="A102"/>
    <x v="3"/>
    <d v="2025-09-26T00:00:00"/>
    <x v="3"/>
    <s v="#ShotOniPhone"/>
    <s v="ShotOniPhone"/>
    <n v="9043"/>
    <n v="1192"/>
    <n v="810"/>
    <n v="1550"/>
    <n v="5221"/>
    <n v="199476"/>
    <n v="10235.004060638874"/>
    <n v="12595"/>
    <n v="6.3140427921153419"/>
    <s v="Apple Event September 2025"/>
  </r>
  <r>
    <s v="A103"/>
    <x v="3"/>
    <d v="2025-09-27T00:00:00"/>
    <x v="1"/>
    <s v="#MacBookAirM3 #AppleInnovation"/>
    <s v="MacBookAirM3  AppleInnovation"/>
    <n v="18521"/>
    <n v="1027"/>
    <n v="230"/>
    <n v="1247"/>
    <n v="39588"/>
    <n v="200928"/>
    <n v="19548.001144688646"/>
    <n v="21025"/>
    <n v="10.46394728459946"/>
    <s v="Apple Event September 2025"/>
  </r>
  <r>
    <s v="A104"/>
    <x v="1"/>
    <s v="2025-03-23"/>
    <x v="0"/>
    <s v="#AppleDesign #Innovation"/>
    <s v="AppleDesign  Innovation"/>
    <n v="24711"/>
    <n v="882"/>
    <n v="876"/>
    <n v="2728"/>
    <n v="32015"/>
    <n v="180272"/>
    <n v="25593.00485932369"/>
    <n v="29197"/>
    <n v="16.196081476879382"/>
    <s v="iPhone 16 Launch"/>
  </r>
  <r>
    <s v="A105"/>
    <x v="3"/>
    <s v="2024-06-14"/>
    <x v="3"/>
    <s v="#iPhone16Launch #AppleEvent"/>
    <s v="iPhone16Launch  AppleEvent"/>
    <n v="21856"/>
    <n v="1203"/>
    <n v="634"/>
    <n v="2807"/>
    <n v="3647"/>
    <n v="104178"/>
    <n v="23059.00608573787"/>
    <n v="26500"/>
    <n v="25.43723242911171"/>
    <s v="iPhone 16 Launch"/>
  </r>
  <r>
    <s v="A106"/>
    <x v="3"/>
    <s v="2025-02-04"/>
    <x v="3"/>
    <s v="#AppleWatch #Health"/>
    <s v="AppleWatch  Health"/>
    <n v="23833"/>
    <n v="555"/>
    <n v="523"/>
    <n v="1330"/>
    <n v="69141"/>
    <n v="73997"/>
    <n v="24388.007067854101"/>
    <n v="26241"/>
    <n v="35.462248469532547"/>
    <s v="iPhone 16 Launch"/>
  </r>
  <r>
    <s v="A107"/>
    <x v="3"/>
    <s v="2024-06-21"/>
    <x v="2"/>
    <s v="#AppleEvent #iPadPro"/>
    <s v="AppleEvent  iPadPro"/>
    <n v="21216"/>
    <n v="1207"/>
    <n v="859"/>
    <n v="328"/>
    <n v="91296"/>
    <n v="196683"/>
    <n v="22423.004367433892"/>
    <n v="23610"/>
    <n v="12.00408779609829"/>
    <s v="Sustainability Awareness Drive"/>
  </r>
  <r>
    <s v="A108"/>
    <x v="1"/>
    <d v="2025-09-28T00:00:00"/>
    <x v="3"/>
    <s v="#AppleWatch #Health"/>
    <s v="AppleWatch  Health"/>
    <n v="21963"/>
    <n v="1356"/>
    <n v="349"/>
    <n v="1206"/>
    <n v="51755"/>
    <n v="159273"/>
    <n v="23319.002191206295"/>
    <n v="24874"/>
    <n v="15.617210701123231"/>
    <s v="Apple Event September 2025"/>
  </r>
  <r>
    <s v="A109"/>
    <x v="3"/>
    <s v="2024-08-08"/>
    <x v="3"/>
    <s v="#AppleWatch #Health"/>
    <s v="AppleWatch  Health"/>
    <n v="24355"/>
    <n v="1087"/>
    <n v="686"/>
    <n v="2426"/>
    <n v="24963"/>
    <n v="212307"/>
    <n v="25442.003231169958"/>
    <n v="28554"/>
    <n v="13.449391682798966"/>
    <s v="Apple Watch Ultra 2 Launch"/>
  </r>
  <r>
    <s v="A110"/>
    <x v="0"/>
    <s v="2024-07-29"/>
    <x v="2"/>
    <s v="#AppleWatch #Health"/>
    <s v="AppleWatch  Health"/>
    <n v="6164"/>
    <n v="326"/>
    <n v="615"/>
    <n v="2806"/>
    <n v="38579"/>
    <n v="206129"/>
    <n v="6490.0029835685418"/>
    <n v="9911"/>
    <n v="4.8081541170820215"/>
    <s v="MacBook Air M3 Campaign"/>
  </r>
  <r>
    <s v="A111"/>
    <x v="1"/>
    <s v="2024-11-23"/>
    <x v="1"/>
    <s v="#ShotOniPhone"/>
    <s v="ShotOniPhone"/>
    <n v="9941"/>
    <n v="1329"/>
    <n v="238"/>
    <n v="869"/>
    <n v="40281"/>
    <n v="172311"/>
    <n v="11270.001381223485"/>
    <n v="12377"/>
    <n v="7.1829424703007936"/>
    <s v="Sustainability Awareness Drive"/>
  </r>
  <r>
    <s v="A112"/>
    <x v="0"/>
    <s v="2024-10-05"/>
    <x v="3"/>
    <s v="#MacBookAirM3 #AppleInnovation"/>
    <s v="MacBookAirM3  AppleInnovation"/>
    <n v="16388"/>
    <n v="1208"/>
    <n v="417"/>
    <n v="2306"/>
    <n v="16865"/>
    <n v="236733"/>
    <n v="17596.001761478121"/>
    <n v="20319"/>
    <n v="8.583087275538265"/>
    <s v="Apple Watch Ultra 2 Launch"/>
  </r>
  <r>
    <s v="A113"/>
    <x v="1"/>
    <d v="2025-09-29T00:00:00"/>
    <x v="2"/>
    <s v="#iPhonePhotography #ShotOniPhone"/>
    <s v="iPhonePhotography  ShotOniPhone"/>
    <n v="7569"/>
    <n v="803"/>
    <n v="804"/>
    <n v="1753"/>
    <n v="43582"/>
    <n v="166945"/>
    <n v="8372.0048159573507"/>
    <n v="10929"/>
    <n v="6.5464673994429301"/>
    <s v="Apple Event September 2025"/>
  </r>
  <r>
    <s v="A114"/>
    <x v="3"/>
    <s v="2024-11-14"/>
    <x v="0"/>
    <s v="#AppleDesign #Innovation"/>
    <s v="AppleDesign  Innovation"/>
    <n v="6300"/>
    <n v="1213"/>
    <n v="720"/>
    <n v="1037"/>
    <n v="39569"/>
    <n v="85272"/>
    <n v="7513.008443568815"/>
    <n v="9270"/>
    <n v="10.871094849423022"/>
    <s v="iPhone 16 Launch"/>
  </r>
  <r>
    <s v="A115"/>
    <x v="0"/>
    <d v="2025-09-30T00:00:00"/>
    <x v="1"/>
    <s v="#AppleWatchUltra2 #HealthTech"/>
    <s v="AppleWatchUltra2  HealthTech"/>
    <n v="8269"/>
    <n v="250"/>
    <n v="638"/>
    <n v="815"/>
    <n v="41991"/>
    <n v="129393"/>
    <n v="8519.0049307149529"/>
    <n v="9972"/>
    <n v="7.7067538429435904"/>
    <s v="Apple Event September 2025"/>
  </r>
  <r>
    <s v="A116"/>
    <x v="1"/>
    <s v="2025-03-18"/>
    <x v="0"/>
    <s v="#AppleWatch #Health"/>
    <s v="AppleWatch  Health"/>
    <n v="5818"/>
    <n v="1252"/>
    <n v="687"/>
    <n v="2300"/>
    <n v="25081"/>
    <n v="101212"/>
    <n v="7070.0067877326801"/>
    <n v="10057"/>
    <n v="9.9365687863099232"/>
    <s v="MacBook Air M3 Campaign"/>
  </r>
  <r>
    <s v="A117"/>
    <x v="2"/>
    <s v="2024-11-04"/>
    <x v="0"/>
    <s v="#AppleEvent #iPhone16"/>
    <s v="AppleEvent  iPhone16"/>
    <n v="14015"/>
    <n v="978"/>
    <n v="196"/>
    <n v="2744"/>
    <n v="20190"/>
    <n v="186470"/>
    <n v="14993.001051107416"/>
    <n v="17933"/>
    <n v="9.6170965839008957"/>
    <s v="Sustainability Awareness Drive"/>
  </r>
  <r>
    <s v="A118"/>
    <x v="3"/>
    <s v="2024-11-04"/>
    <x v="2"/>
    <s v="#ShotOniPhone"/>
    <s v="ShotOniPhone"/>
    <n v="14234"/>
    <n v="1013"/>
    <n v="437"/>
    <n v="338"/>
    <n v="67754"/>
    <n v="160030"/>
    <n v="15247.002730737986"/>
    <n v="16022"/>
    <n v="10.011872773854902"/>
    <s v="Sustainability Awareness Drive"/>
  </r>
  <r>
    <s v="A119"/>
    <x v="1"/>
    <s v="2025-02-07"/>
    <x v="3"/>
    <s v="#Sustainability #AppleEarth"/>
    <s v="Sustainability  AppleEarth"/>
    <n v="20290"/>
    <n v="619"/>
    <n v="927"/>
    <n v="1186"/>
    <n v="8924"/>
    <n v="96503"/>
    <n v="20909.009605918985"/>
    <n v="23022"/>
    <n v="23.856253173476471"/>
    <s v="MacBook Air M3 Campaign"/>
  </r>
  <r>
    <s v="A120"/>
    <x v="2"/>
    <s v="2024-10-21"/>
    <x v="2"/>
    <s v="#AppleEvent #iPadPro"/>
    <s v="AppleEvent  iPadPro"/>
    <n v="8254"/>
    <n v="1405"/>
    <n v="165"/>
    <n v="2504"/>
    <n v="8081"/>
    <n v="177710"/>
    <n v="9659.000928478983"/>
    <n v="12328"/>
    <n v="6.9371447864498332"/>
    <s v="Apple Watch Ultra 2 Launch"/>
  </r>
  <r>
    <s v="A121"/>
    <x v="1"/>
    <s v="2024-07-29"/>
    <x v="2"/>
    <s v="#AppleWatchUltra2 #HealthTech"/>
    <s v="AppleWatchUltra2  HealthTech"/>
    <n v="19144"/>
    <n v="1182"/>
    <n v="860"/>
    <n v="1398"/>
    <n v="4185"/>
    <n v="46570"/>
    <n v="20326.018466824135"/>
    <n v="22584"/>
    <n v="48.49473910242645"/>
    <s v="Apple Watch Ultra 2 Launch"/>
  </r>
  <r>
    <s v="A122"/>
    <x v="2"/>
    <s v="2024-10-02"/>
    <x v="2"/>
    <s v="#iPhonePhotography #ShotOniPhone"/>
    <s v="iPhonePhotography  ShotOniPhone"/>
    <n v="9350"/>
    <n v="1024"/>
    <n v="550"/>
    <n v="2123"/>
    <n v="53916"/>
    <n v="108785"/>
    <n v="10374.005055844096"/>
    <n v="13047"/>
    <n v="11.993381440455945"/>
    <s v="Sustainability Awareness Drive"/>
  </r>
  <r>
    <s v="A123"/>
    <x v="3"/>
    <s v="2024-06-14"/>
    <x v="2"/>
    <s v="#AppleEvent #iPhone16"/>
    <s v="AppleEvent  iPhone16"/>
    <n v="17183"/>
    <n v="1224"/>
    <n v="943"/>
    <n v="2010"/>
    <n v="21481"/>
    <n v="49110"/>
    <n v="18407.019201791896"/>
    <n v="21360"/>
    <n v="43.494196701282831"/>
    <s v="Sustainability Awareness Drive"/>
  </r>
  <r>
    <s v="A124"/>
    <x v="0"/>
    <s v="2025-04-06"/>
    <x v="1"/>
    <s v="#iPhonePhotography #ShotOniPhone"/>
    <s v="iPhonePhotography  ShotOniPhone"/>
    <n v="8238"/>
    <n v="766"/>
    <n v="235"/>
    <n v="1273"/>
    <n v="4706"/>
    <n v="119141"/>
    <n v="9004.0019724528083"/>
    <n v="10512"/>
    <n v="8.823159113990986"/>
    <s v="iPhone 16 Launch"/>
  </r>
  <r>
    <s v="A125"/>
    <x v="2"/>
    <s v="2024-09-08"/>
    <x v="3"/>
    <s v="#AppleWatchUltra2 #HealthTech"/>
    <s v="AppleWatchUltra2  HealthTech"/>
    <n v="8090"/>
    <n v="570"/>
    <n v="399"/>
    <n v="1862"/>
    <n v="34088"/>
    <n v="52115"/>
    <n v="8660.0076561450642"/>
    <n v="10921"/>
    <n v="20.955579007963156"/>
    <s v="Apple Watch Ultra 2 Launch"/>
  </r>
  <r>
    <s v="A126"/>
    <x v="1"/>
    <s v="2025-03-28"/>
    <x v="0"/>
    <s v="#AppleWatch #Health"/>
    <s v="AppleWatch  Health"/>
    <n v="13637"/>
    <n v="1135"/>
    <n v="540"/>
    <n v="1288"/>
    <n v="45183"/>
    <n v="79062"/>
    <n v="14772.006830082721"/>
    <n v="16600"/>
    <n v="20.996180212997395"/>
    <s v="MacBook Air M3 Campaign"/>
  </r>
  <r>
    <s v="A127"/>
    <x v="3"/>
    <s v="2025-01-27"/>
    <x v="0"/>
    <s v="#AppleEvent #iPhone16"/>
    <s v="AppleEvent  iPhone16"/>
    <n v="24415"/>
    <n v="860"/>
    <n v="931"/>
    <n v="320"/>
    <n v="65049"/>
    <n v="62911"/>
    <n v="25275.014798683856"/>
    <n v="26526"/>
    <n v="42.164327383128544"/>
    <s v="Apple Watch Ultra 2 Launch"/>
  </r>
  <r>
    <s v="A128"/>
    <x v="2"/>
    <s v="2025-01-10"/>
    <x v="3"/>
    <s v="#iPhonePhotography #ShotOniPhone"/>
    <s v="iPhonePhotography  ShotOniPhone"/>
    <n v="14647"/>
    <n v="1168"/>
    <n v="484"/>
    <n v="2650"/>
    <n v="27217"/>
    <n v="144061"/>
    <n v="15815.003359687909"/>
    <n v="18949"/>
    <n v="13.153455827739638"/>
    <s v="iPhone 16 Launch"/>
  </r>
  <r>
    <s v="A129"/>
    <x v="1"/>
    <s v="2024-07-21"/>
    <x v="0"/>
    <s v="#AppleEvent #iPadPro"/>
    <s v="AppleEvent  iPadPro"/>
    <n v="11911"/>
    <n v="1360"/>
    <n v="778"/>
    <n v="1168"/>
    <n v="16483"/>
    <n v="72556"/>
    <n v="13271.01072275208"/>
    <n v="15217"/>
    <n v="20.972765863608799"/>
    <s v="Sustainability Awareness Drive"/>
  </r>
  <r>
    <s v="A130"/>
    <x v="1"/>
    <s v="2024-09-29"/>
    <x v="3"/>
    <s v="#MacBookAirM3 #AppleInnovation"/>
    <s v="MacBookAirM3  AppleInnovation"/>
    <n v="10472"/>
    <n v="401"/>
    <n v="668"/>
    <n v="383"/>
    <n v="37571"/>
    <n v="249203"/>
    <n v="10873.00268054558"/>
    <n v="11924"/>
    <n v="4.7848541149183594"/>
    <s v="Sustainability Awareness Drive"/>
  </r>
  <r>
    <s v="A131"/>
    <x v="1"/>
    <s v="2024-10-21"/>
    <x v="0"/>
    <s v="#iPhone16Launch #AppleEvent"/>
    <s v="iPhone16Launch  AppleEvent"/>
    <n v="20271"/>
    <n v="512"/>
    <n v="286"/>
    <n v="1982"/>
    <n v="43225"/>
    <n v="168335"/>
    <n v="20783.001698993081"/>
    <n v="23051"/>
    <n v="13.693527786853595"/>
    <s v="iPhone 16 Launch"/>
  </r>
  <r>
    <s v="A132"/>
    <x v="2"/>
    <s v="2025-03-04"/>
    <x v="2"/>
    <s v="#MacBookAirM3 #AppleInnovation"/>
    <s v="MacBookAirM3  AppleInnovation"/>
    <n v="5266"/>
    <n v="316"/>
    <n v="837"/>
    <n v="2276"/>
    <n v="20967"/>
    <n v="41969"/>
    <n v="5582.0199432914769"/>
    <n v="8695"/>
    <n v="20.717672567847696"/>
    <s v="MacBook Air M3 Campaign"/>
  </r>
  <r>
    <s v="A133"/>
    <x v="2"/>
    <s v="2025-02-06"/>
    <x v="0"/>
    <s v="#AppleWatchUltra2 #HealthTech"/>
    <s v="AppleWatchUltra2  HealthTech"/>
    <n v="2666"/>
    <n v="1136"/>
    <n v="989"/>
    <n v="1710"/>
    <n v="36467"/>
    <n v="83753"/>
    <n v="3802.0118085322315"/>
    <n v="6501"/>
    <n v="7.7621100139696493"/>
    <s v="Sustainability Awareness Drive"/>
  </r>
  <r>
    <s v="A134"/>
    <x v="2"/>
    <d v="2025-10-01T00:00:00"/>
    <x v="3"/>
    <s v="#ShotOniPhone"/>
    <s v="ShotOniPhone"/>
    <n v="6188"/>
    <n v="774"/>
    <n v="647"/>
    <n v="1830"/>
    <n v="55436"/>
    <n v="175542"/>
    <n v="6962.0036857276318"/>
    <n v="9439"/>
    <n v="5.3770607603878275"/>
    <s v="Apple Event September 2025"/>
  </r>
  <r>
    <s v="A135"/>
    <x v="0"/>
    <s v="2024-11-28"/>
    <x v="3"/>
    <s v="#iPhone16Launch #AppleEvent"/>
    <s v="iPhone16Launch  AppleEvent"/>
    <n v="19055"/>
    <n v="443"/>
    <n v="976"/>
    <n v="869"/>
    <n v="75437"/>
    <n v="161863"/>
    <n v="19498.006029790624"/>
    <n v="21343"/>
    <n v="13.185842348158626"/>
    <s v="Sustainability Awareness Drive"/>
  </r>
  <r>
    <s v="A136"/>
    <x v="2"/>
    <d v="2025-10-02T00:00:00"/>
    <x v="3"/>
    <s v="#AppleDesign #Innovation"/>
    <s v="AppleDesign  Innovation"/>
    <n v="12161"/>
    <n v="736"/>
    <n v="876"/>
    <n v="1233"/>
    <n v="21337"/>
    <n v="50225"/>
    <n v="12897.017441513191"/>
    <n v="15006"/>
    <n v="29.877551020408159"/>
    <s v="Apple Event September 2025"/>
  </r>
  <r>
    <s v="A137"/>
    <x v="2"/>
    <s v="2024-07-31"/>
    <x v="3"/>
    <s v="#AppleEvent #iPadPro"/>
    <s v="AppleEvent  iPadPro"/>
    <n v="13314"/>
    <n v="274"/>
    <n v="626"/>
    <n v="2280"/>
    <n v="14639"/>
    <n v="163008"/>
    <n v="13588.003840302317"/>
    <n v="16494"/>
    <n v="10.118521790341578"/>
    <s v="iPhone 16 Launch"/>
  </r>
  <r>
    <s v="A138"/>
    <x v="2"/>
    <s v="2025-03-29"/>
    <x v="3"/>
    <s v="#AppleDesign #Innovation"/>
    <s v="AppleDesign  Innovation"/>
    <n v="23508"/>
    <n v="585"/>
    <n v="743"/>
    <n v="2155"/>
    <n v="3704"/>
    <n v="194268"/>
    <n v="24093.003824613421"/>
    <n v="26991"/>
    <n v="13.893693248502071"/>
    <s v="iPhone 16 Launch"/>
  </r>
  <r>
    <s v="A139"/>
    <x v="0"/>
    <s v="2024-10-29"/>
    <x v="1"/>
    <s v="#AppleEvent #iPhone16"/>
    <s v="AppleEvent  iPhone16"/>
    <n v="23969"/>
    <n v="1433"/>
    <n v="372"/>
    <n v="1092"/>
    <n v="32147"/>
    <n v="145823"/>
    <n v="25402.002551037902"/>
    <n v="26866"/>
    <n v="18.423705451129109"/>
    <s v="Sustainability Awareness Drive"/>
  </r>
  <r>
    <s v="A140"/>
    <x v="2"/>
    <s v="2024-07-15"/>
    <x v="1"/>
    <s v="#AppleMusic #AppleLifestyle"/>
    <s v="AppleMusic  AppleLifestyle"/>
    <n v="14891"/>
    <n v="674"/>
    <n v="521"/>
    <n v="1091"/>
    <n v="18101"/>
    <n v="53669"/>
    <n v="15565.009707652462"/>
    <n v="17177"/>
    <n v="32.005440757234155"/>
    <s v="Apple Watch Ultra 2 Launch"/>
  </r>
  <r>
    <s v="A141"/>
    <x v="1"/>
    <d v="2025-10-03T00:00:00"/>
    <x v="0"/>
    <s v="#iPhone16Launch #AppleEvent"/>
    <s v="iPhone16Launch  AppleEvent"/>
    <n v="6777"/>
    <n v="617"/>
    <n v="551"/>
    <n v="2109"/>
    <n v="18559"/>
    <n v="208452"/>
    <n v="7394.0026432943796"/>
    <n v="10054"/>
    <n v="4.8231727208182216"/>
    <s v="Apple Event September 2025"/>
  </r>
  <r>
    <s v="A142"/>
    <x v="2"/>
    <s v="2025-03-25"/>
    <x v="3"/>
    <s v="#AppleDesign #Innovation"/>
    <s v="AppleDesign  Innovation"/>
    <n v="5900"/>
    <n v="546"/>
    <n v="592"/>
    <n v="1594"/>
    <n v="38627"/>
    <n v="164398"/>
    <n v="6446.0036010170443"/>
    <n v="8632"/>
    <n v="5.2506721492962196"/>
    <s v="MacBook Air M3 Campaign"/>
  </r>
  <r>
    <s v="A143"/>
    <x v="1"/>
    <s v="2024-10-02"/>
    <x v="0"/>
    <s v="#AppleDesign #Innovation"/>
    <s v="AppleDesign  Innovation"/>
    <n v="15716"/>
    <n v="839"/>
    <n v="639"/>
    <n v="2839"/>
    <n v="349"/>
    <n v="150677"/>
    <n v="16555.004240859587"/>
    <n v="20033"/>
    <n v="13.295327090398668"/>
    <s v="Sustainability Awareness Drive"/>
  </r>
  <r>
    <s v="A144"/>
    <x v="1"/>
    <s v="2024-10-28"/>
    <x v="3"/>
    <s v="#iPhonePhotography #ShotOniPhone"/>
    <s v="iPhonePhotography  ShotOniPhone"/>
    <n v="8981"/>
    <n v="1138"/>
    <n v="764"/>
    <n v="2555"/>
    <n v="92810"/>
    <n v="88320"/>
    <n v="10119.008650362319"/>
    <n v="13438"/>
    <n v="15.215126811594203"/>
    <s v="MacBook Air M3 Campaign"/>
  </r>
  <r>
    <s v="A145"/>
    <x v="1"/>
    <s v="2024-08-12"/>
    <x v="3"/>
    <s v="#MacBookAirM3 #AppleInnovation"/>
    <s v="MacBookAirM3  AppleInnovation"/>
    <n v="8376"/>
    <n v="1154"/>
    <n v="422"/>
    <n v="1907"/>
    <n v="36874"/>
    <n v="218486"/>
    <n v="9530.0019314738711"/>
    <n v="11859"/>
    <n v="5.4278077313878237"/>
    <s v="Sustainability Awareness Drive"/>
  </r>
  <r>
    <s v="A146"/>
    <x v="0"/>
    <s v="2024-06-05"/>
    <x v="1"/>
    <s v="#iPhonePhotography #ShotOniPhone"/>
    <s v="iPhonePhotography  ShotOniPhone"/>
    <n v="18907"/>
    <n v="1075"/>
    <n v="675"/>
    <n v="1383"/>
    <n v="17875"/>
    <n v="186649"/>
    <n v="19982.003616413695"/>
    <n v="22040"/>
    <n v="11.808260424647333"/>
    <s v="Apple Watch Ultra 2 Launch"/>
  </r>
  <r>
    <s v="A147"/>
    <x v="0"/>
    <s v="2024-10-21"/>
    <x v="1"/>
    <s v="#iPhone16Launch #AppleEvent"/>
    <s v="iPhone16Launch  AppleEvent"/>
    <n v="20777"/>
    <n v="962"/>
    <n v="308"/>
    <n v="2777"/>
    <n v="25529"/>
    <n v="165354"/>
    <n v="21739.001862670393"/>
    <n v="24824"/>
    <n v="15.012639549088622"/>
    <s v="Apple Watch Ultra 2 Launch"/>
  </r>
  <r>
    <s v="A148"/>
    <x v="0"/>
    <s v="2025-04-15"/>
    <x v="2"/>
    <s v="#iPhone16Launch #AppleEvent"/>
    <s v="iPhone16Launch  AppleEvent"/>
    <n v="20977"/>
    <n v="1402"/>
    <n v="301"/>
    <n v="1284"/>
    <n v="24620"/>
    <n v="128009"/>
    <n v="22379.002351397168"/>
    <n v="23964"/>
    <n v="18.720558710715654"/>
    <s v="Apple Watch Ultra 2 Launch"/>
  </r>
  <r>
    <s v="A149"/>
    <x v="2"/>
    <s v="2024-06-16"/>
    <x v="1"/>
    <s v="#AppleWatchUltra2 #HealthTech"/>
    <s v="AppleWatchUltra2  HealthTech"/>
    <n v="12160"/>
    <n v="1405"/>
    <n v="769"/>
    <n v="1980"/>
    <n v="33174"/>
    <n v="226481"/>
    <n v="13565.003395428314"/>
    <n v="16314"/>
    <n v="7.2032532530322628"/>
    <s v="Apple Watch Ultra 2 Launch"/>
  </r>
  <r>
    <s v="A150"/>
    <x v="1"/>
    <s v="2024-08-22"/>
    <x v="2"/>
    <s v="#iPhonePhotography #ShotOniPhone"/>
    <s v="iPhonePhotography  ShotOniPhone"/>
    <n v="16124"/>
    <n v="863"/>
    <n v="337"/>
    <n v="819"/>
    <n v="85788"/>
    <n v="68625"/>
    <n v="16987.004910746811"/>
    <n v="18143"/>
    <n v="26.437887067395266"/>
    <s v="iPhone 16 Launch"/>
  </r>
  <r>
    <s v="A151"/>
    <x v="0"/>
    <s v="2024-07-26"/>
    <x v="2"/>
    <s v="#MacBookProM3"/>
    <s v="MacBookProM3"/>
    <n v="18282"/>
    <n v="224"/>
    <n v="962"/>
    <n v="890"/>
    <n v="35105"/>
    <n v="64089"/>
    <n v="18506.015010376195"/>
    <n v="20358"/>
    <n v="31.765201516640921"/>
    <s v="iPhone 16 Launch"/>
  </r>
  <r>
    <s v="A152"/>
    <x v="0"/>
    <d v="2025-10-04T00:00:00"/>
    <x v="2"/>
    <s v="#Sustainability #AppleEarth"/>
    <s v="Sustainability  AppleEarth"/>
    <n v="12488"/>
    <n v="1403"/>
    <n v="247"/>
    <n v="1350"/>
    <n v="28370"/>
    <n v="76487"/>
    <n v="13891.003229306942"/>
    <n v="15488"/>
    <n v="20.249192673264737"/>
    <s v="Apple Event September 2025"/>
  </r>
  <r>
    <s v="A153"/>
    <x v="2"/>
    <s v="2025-01-01"/>
    <x v="2"/>
    <s v="#MacBookAirM3 #AppleInnovation"/>
    <s v="MacBookAirM3  AppleInnovation"/>
    <n v="24574"/>
    <n v="909"/>
    <n v="280"/>
    <n v="2009"/>
    <n v="6221"/>
    <n v="236910"/>
    <n v="25483.001181883417"/>
    <n v="27772"/>
    <n v="11.722595078299776"/>
    <s v="MacBook Air M3 Campaign"/>
  </r>
  <r>
    <s v="A154"/>
    <x v="0"/>
    <s v="2024-10-09"/>
    <x v="2"/>
    <s v="#iPhone16Launch #AppleEvent"/>
    <s v="iPhone16Launch  AppleEvent"/>
    <n v="7240"/>
    <n v="1384"/>
    <n v="954"/>
    <n v="2335"/>
    <n v="6757"/>
    <n v="150448"/>
    <n v="8624.0063410613639"/>
    <n v="11913"/>
    <n v="7.9183505264277363"/>
    <s v="Sustainability Awareness Drive"/>
  </r>
  <r>
    <s v="A155"/>
    <x v="2"/>
    <s v="2024-12-21"/>
    <x v="0"/>
    <s v="#AppleWatchUltra2 #HealthTech"/>
    <s v="AppleWatchUltra2  HealthTech"/>
    <n v="12453"/>
    <n v="376"/>
    <n v="320"/>
    <n v="2546"/>
    <n v="22617"/>
    <n v="90138"/>
    <n v="12829.003550112051"/>
    <n v="15695"/>
    <n v="17.4121901972531"/>
    <s v="Sustainability Awareness Drive"/>
  </r>
  <r>
    <s v="A156"/>
    <x v="3"/>
    <s v="2024-10-22"/>
    <x v="1"/>
    <s v="#AppleMusic #AppleLifestyle"/>
    <s v="AppleMusic  AppleLifestyle"/>
    <n v="12478"/>
    <n v="484"/>
    <n v="332"/>
    <n v="2734"/>
    <n v="43338"/>
    <n v="213895"/>
    <n v="12962.001552163445"/>
    <n v="16028"/>
    <n v="7.4933962925734594"/>
    <s v="iPhone 16 Launch"/>
  </r>
  <r>
    <s v="A157"/>
    <x v="0"/>
    <s v="2024-07-23"/>
    <x v="2"/>
    <s v="#iPhonePhotography #ShotOniPhone"/>
    <s v="iPhonePhotography  ShotOniPhone"/>
    <n v="24877"/>
    <n v="262"/>
    <n v="513"/>
    <n v="648"/>
    <n v="47544"/>
    <n v="208280"/>
    <n v="25139.002463030534"/>
    <n v="26300"/>
    <n v="12.627232571538313"/>
    <s v="Sustainability Awareness Drive"/>
  </r>
  <r>
    <s v="A158"/>
    <x v="3"/>
    <s v="2024-08-11"/>
    <x v="3"/>
    <s v="#MacBookAirM3 #AppleInnovation"/>
    <s v="MacBookAirM3  AppleInnovation"/>
    <n v="14394"/>
    <n v="1202"/>
    <n v="188"/>
    <n v="1259"/>
    <n v="21925"/>
    <n v="94061"/>
    <n v="15596.00199870297"/>
    <n v="17043"/>
    <n v="18.119092929056677"/>
    <s v="iPhone 16 Launch"/>
  </r>
  <r>
    <s v="A159"/>
    <x v="2"/>
    <d v="2025-10-05T00:00:00"/>
    <x v="1"/>
    <s v="#AppleMusic #AppleLifestyle"/>
    <s v="AppleMusic  AppleLifestyle"/>
    <n v="21262"/>
    <n v="861"/>
    <n v="676"/>
    <n v="2263"/>
    <n v="12085"/>
    <n v="201731"/>
    <n v="22123.003350997122"/>
    <n v="25062"/>
    <n v="12.423474825386281"/>
    <s v="Apple Event September 2025"/>
  </r>
  <r>
    <s v="A160"/>
    <x v="1"/>
    <s v="2024-08-24"/>
    <x v="1"/>
    <s v="#iPhonePhotography #ShotOniPhone"/>
    <s v="iPhonePhotography  ShotOniPhone"/>
    <n v="22527"/>
    <n v="865"/>
    <n v="646"/>
    <n v="992"/>
    <n v="18654"/>
    <n v="141376"/>
    <n v="23392.004569375284"/>
    <n v="25030"/>
    <n v="17.70456088727931"/>
    <s v="MacBook Air M3 Campaign"/>
  </r>
  <r>
    <s v="A161"/>
    <x v="0"/>
    <d v="2025-10-06T00:00:00"/>
    <x v="2"/>
    <s v="#AppleDesign #Innovation"/>
    <s v="AppleDesign  Innovation"/>
    <n v="22028"/>
    <n v="355"/>
    <n v="665"/>
    <n v="1859"/>
    <n v="50565"/>
    <n v="202962"/>
    <n v="22383.0032764754"/>
    <n v="24907"/>
    <n v="12.271755303948522"/>
    <s v="Apple Event September 2025"/>
  </r>
  <r>
    <s v="A162"/>
    <x v="2"/>
    <s v="2025-04-01"/>
    <x v="0"/>
    <s v="#AppleMusic #AppleLifestyle"/>
    <s v="AppleMusic  AppleLifestyle"/>
    <n v="6432"/>
    <n v="1272"/>
    <n v="498"/>
    <n v="677"/>
    <n v="47305"/>
    <n v="119134"/>
    <n v="7704.0041801668713"/>
    <n v="8879"/>
    <n v="7.4529521379287189"/>
    <s v="Apple Watch Ultra 2 Launch"/>
  </r>
  <r>
    <s v="A163"/>
    <x v="1"/>
    <s v="2025-04-08"/>
    <x v="2"/>
    <s v="#AppleWatchUltra2 #HealthTech"/>
    <s v="AppleWatchUltra2  HealthTech"/>
    <n v="15568"/>
    <n v="1166"/>
    <n v="546"/>
    <n v="826"/>
    <n v="21836"/>
    <n v="87055"/>
    <n v="16734.006271897077"/>
    <n v="18106"/>
    <n v="20.798345873298491"/>
    <s v="Apple Watch Ultra 2 Launch"/>
  </r>
  <r>
    <s v="A164"/>
    <x v="1"/>
    <s v="2025-02-27"/>
    <x v="0"/>
    <s v="#MacBookAirM3 #AppleInnovation"/>
    <s v="MacBookAirM3  AppleInnovation"/>
    <n v="16178"/>
    <n v="1048"/>
    <n v="871"/>
    <n v="2553"/>
    <n v="39025"/>
    <n v="59508"/>
    <n v="17226.014636687505"/>
    <n v="20650"/>
    <n v="34.70121664314042"/>
    <s v="Apple Watch Ultra 2 Launch"/>
  </r>
  <r>
    <s v="A165"/>
    <x v="3"/>
    <d v="2025-10-07T00:00:00"/>
    <x v="3"/>
    <s v="#AppleWatch #Health"/>
    <s v="AppleWatch  Health"/>
    <n v="19660"/>
    <n v="1307"/>
    <n v="310"/>
    <n v="2802"/>
    <n v="22171"/>
    <n v="213359"/>
    <n v="20967.001452950193"/>
    <n v="24079"/>
    <n v="11.285673442413961"/>
    <s v="Apple Event September 2025"/>
  </r>
  <r>
    <s v="A166"/>
    <x v="2"/>
    <s v="2025-02-16"/>
    <x v="1"/>
    <s v="#AppleEvent #iPhone16"/>
    <s v="AppleEvent  iPhone16"/>
    <n v="24195"/>
    <n v="888"/>
    <n v="165"/>
    <n v="1559"/>
    <n v="11596"/>
    <n v="249988"/>
    <n v="25083.000660031681"/>
    <n v="26807"/>
    <n v="10.723314719106517"/>
    <s v="Sustainability Awareness Drive"/>
  </r>
  <r>
    <s v="A167"/>
    <x v="1"/>
    <s v="2024-11-28"/>
    <x v="3"/>
    <s v="#AppleEvent #iPhone16"/>
    <s v="AppleEvent  iPhone16"/>
    <n v="2302"/>
    <n v="347"/>
    <n v="642"/>
    <n v="2175"/>
    <n v="56378"/>
    <n v="198056"/>
    <n v="2649.0032415074525"/>
    <n v="5466"/>
    <n v="2.7598255038978876"/>
    <s v="MacBook Air M3 Campaign"/>
  </r>
  <r>
    <s v="A168"/>
    <x v="0"/>
    <s v="2024-11-12"/>
    <x v="0"/>
    <s v="#MacBookAirM3 #AppleInnovation"/>
    <s v="MacBookAirM3  AppleInnovation"/>
    <n v="19022"/>
    <n v="541"/>
    <n v="575"/>
    <n v="2063"/>
    <n v="42743"/>
    <n v="150169"/>
    <n v="19563.003829019304"/>
    <n v="22201"/>
    <n v="14.784010015382668"/>
    <s v="Apple Watch Ultra 2 Launch"/>
  </r>
  <r>
    <s v="A169"/>
    <x v="0"/>
    <s v="2024-12-03"/>
    <x v="0"/>
    <s v="#AppleMusic #AppleLifestyle"/>
    <s v="AppleMusic  AppleLifestyle"/>
    <n v="2055"/>
    <n v="675"/>
    <n v="257"/>
    <n v="820"/>
    <n v="33534"/>
    <n v="48125"/>
    <n v="2730.0053402597405"/>
    <n v="3807"/>
    <n v="7.9106493506493498"/>
    <s v="Apple Watch Ultra 2 Launch"/>
  </r>
  <r>
    <s v="A170"/>
    <x v="3"/>
    <s v="2025-04-28"/>
    <x v="3"/>
    <s v="#iPhonePhotography #ShotOniPhone"/>
    <s v="iPhonePhotography  ShotOniPhone"/>
    <n v="15013"/>
    <n v="1286"/>
    <n v="599"/>
    <n v="2001"/>
    <n v="67839"/>
    <n v="76059"/>
    <n v="16299.0078754651"/>
    <n v="18899"/>
    <n v="24.847815511642278"/>
    <s v="Apple Watch Ultra 2 Launch"/>
  </r>
  <r>
    <s v="A171"/>
    <x v="1"/>
    <s v="2024-12-31"/>
    <x v="0"/>
    <s v="#AppleWatchUltra2 #HealthTech"/>
    <s v="AppleWatchUltra2  HealthTech"/>
    <n v="10717"/>
    <n v="760"/>
    <n v="460"/>
    <n v="1316"/>
    <n v="18164"/>
    <n v="240641"/>
    <n v="11477.001911561205"/>
    <n v="13253"/>
    <n v="5.5073740551277632"/>
    <s v="MacBook Air M3 Campaign"/>
  </r>
  <r>
    <s v="A172"/>
    <x v="2"/>
    <s v="2024-08-14"/>
    <x v="3"/>
    <s v="#Sustainability #AppleEarth"/>
    <s v="Sustainability  AppleEarth"/>
    <n v="10150"/>
    <n v="526"/>
    <n v="888"/>
    <n v="1313"/>
    <n v="51605"/>
    <n v="143409"/>
    <n v="10676.006192079994"/>
    <n v="12877"/>
    <n v="8.9792132990258633"/>
    <s v="Apple Watch Ultra 2 Launch"/>
  </r>
  <r>
    <s v="A173"/>
    <x v="0"/>
    <s v="2024-12-05"/>
    <x v="1"/>
    <s v="#AppleEvent #iPhone16"/>
    <s v="AppleEvent  iPhone16"/>
    <n v="4125"/>
    <n v="1364"/>
    <n v="319"/>
    <n v="2848"/>
    <n v="15379"/>
    <n v="188159"/>
    <n v="5489.0016953746563"/>
    <n v="8656"/>
    <n v="4.6003645852709676"/>
    <s v="MacBook Air M3 Campaign"/>
  </r>
  <r>
    <s v="A174"/>
    <x v="1"/>
    <s v="2024-06-22"/>
    <x v="3"/>
    <s v="#AppleWatchUltra2 #HealthTech"/>
    <s v="AppleWatchUltra2  HealthTech"/>
    <n v="13479"/>
    <n v="1189"/>
    <n v="695"/>
    <n v="416"/>
    <n v="30229"/>
    <n v="45704"/>
    <n v="14668.015206546474"/>
    <n v="15779"/>
    <n v="34.524330474356731"/>
    <s v="Apple Watch Ultra 2 Launch"/>
  </r>
  <r>
    <s v="A175"/>
    <x v="1"/>
    <d v="2025-10-08T00:00:00"/>
    <x v="1"/>
    <s v="#AppleEvent #iPhone16"/>
    <s v="AppleEvent  iPhone16"/>
    <n v="17745"/>
    <n v="414"/>
    <n v="563"/>
    <n v="2733"/>
    <n v="995"/>
    <n v="231648"/>
    <n v="18159.00243041166"/>
    <n v="21455"/>
    <n v="9.2618973615140217"/>
    <s v="Apple Event September 2025"/>
  </r>
  <r>
    <s v="A176"/>
    <x v="3"/>
    <d v="2025-10-09T00:00:00"/>
    <x v="3"/>
    <s v="#AppleDesign #Innovation"/>
    <s v="AppleDesign  Innovation"/>
    <n v="18748"/>
    <n v="634"/>
    <n v="400"/>
    <n v="1667"/>
    <n v="75813"/>
    <n v="244456"/>
    <n v="19382.001636286284"/>
    <n v="21449"/>
    <n v="8.7741761298556789"/>
    <s v="Apple Event September 2025"/>
  </r>
  <r>
    <s v="A177"/>
    <x v="0"/>
    <s v="2024-07-10"/>
    <x v="0"/>
    <s v="#iPhonePhotography #ShotOniPhone"/>
    <s v="iPhonePhotography  ShotOniPhone"/>
    <n v="8809"/>
    <n v="1151"/>
    <n v="908"/>
    <n v="883"/>
    <n v="42921"/>
    <n v="151279"/>
    <n v="9960.006002154958"/>
    <n v="11751"/>
    <n v="7.7677668413990038"/>
    <s v="MacBook Air M3 Campaign"/>
  </r>
  <r>
    <s v="A178"/>
    <x v="0"/>
    <d v="2025-10-10T00:00:00"/>
    <x v="3"/>
    <s v="#AppleDesign #Innovation"/>
    <s v="AppleDesign  Innovation"/>
    <n v="6621"/>
    <n v="922"/>
    <n v="930"/>
    <n v="694"/>
    <n v="839"/>
    <n v="243532"/>
    <n v="7543.0038187999935"/>
    <n v="9167"/>
    <n v="3.7641870472874199"/>
    <s v="Apple Event September 2025"/>
  </r>
  <r>
    <s v="A179"/>
    <x v="2"/>
    <s v="2024-07-15"/>
    <x v="0"/>
    <s v="#AppleEvent #iPhone16"/>
    <s v="AppleEvent  iPhone16"/>
    <n v="17034"/>
    <n v="231"/>
    <n v="290"/>
    <n v="1387"/>
    <n v="63550"/>
    <n v="198280"/>
    <n v="17265.001462578173"/>
    <n v="18942"/>
    <n v="9.5531571515029245"/>
    <s v="MacBook Air M3 Campaign"/>
  </r>
  <r>
    <s v="A180"/>
    <x v="0"/>
    <d v="2025-10-11T00:00:00"/>
    <x v="3"/>
    <s v="#AppleWatch #Health"/>
    <s v="AppleWatch  Health"/>
    <n v="15623"/>
    <n v="869"/>
    <n v="423"/>
    <n v="371"/>
    <n v="47579"/>
    <n v="158516"/>
    <n v="16492.002668500339"/>
    <n v="17286"/>
    <n v="10.904892881475687"/>
    <s v="Apple Event September 2025"/>
  </r>
  <r>
    <s v="A181"/>
    <x v="2"/>
    <d v="2025-10-12T00:00:00"/>
    <x v="3"/>
    <s v="#AppleWatch #Health"/>
    <s v="AppleWatch  Health"/>
    <n v="7126"/>
    <n v="484"/>
    <n v="565"/>
    <n v="573"/>
    <n v="7389"/>
    <n v="237096"/>
    <n v="7610.0023830009786"/>
    <n v="8748"/>
    <n v="3.6896447008806557"/>
    <s v="Apple Event September 2025"/>
  </r>
  <r>
    <s v="A182"/>
    <x v="0"/>
    <s v="2024-07-31"/>
    <x v="2"/>
    <s v="#AppleDesign #Innovation"/>
    <s v="AppleDesign  Innovation"/>
    <n v="7122"/>
    <n v="628"/>
    <n v="757"/>
    <n v="2313"/>
    <n v="50924"/>
    <n v="210954"/>
    <n v="7750.0035884600438"/>
    <n v="10820"/>
    <n v="5.1290802734245382"/>
    <s v="MacBook Air M3 Campaign"/>
  </r>
  <r>
    <s v="A183"/>
    <x v="3"/>
    <s v="2024-12-17"/>
    <x v="0"/>
    <s v="#AppleWatch #Health"/>
    <s v="AppleWatch  Health"/>
    <n v="20030"/>
    <n v="485"/>
    <n v="888"/>
    <n v="1643"/>
    <n v="4322"/>
    <n v="196995"/>
    <n v="20515.004507728623"/>
    <n v="23046"/>
    <n v="11.698774080560421"/>
    <s v="Sustainability Awareness Drive"/>
  </r>
  <r>
    <s v="A184"/>
    <x v="0"/>
    <d v="2025-10-13T00:00:00"/>
    <x v="2"/>
    <s v="#AppleEvent #iPhone16"/>
    <s v="AppleEvent  iPhone16"/>
    <n v="19302"/>
    <n v="1367"/>
    <n v="188"/>
    <n v="637"/>
    <n v="31404"/>
    <n v="154044"/>
    <n v="20669.001220430528"/>
    <n v="21494"/>
    <n v="13.95315624107398"/>
    <s v="Apple Event September 2025"/>
  </r>
  <r>
    <s v="A185"/>
    <x v="2"/>
    <s v="2025-01-11"/>
    <x v="0"/>
    <s v="#MacBookAirM3 #AppleInnovation"/>
    <s v="MacBookAirM3  AppleInnovation"/>
    <n v="21181"/>
    <n v="1242"/>
    <n v="963"/>
    <n v="1689"/>
    <n v="49329"/>
    <n v="69165"/>
    <n v="22423.013923227067"/>
    <n v="25075"/>
    <n v="36.253885635798454"/>
    <s v="Apple Watch Ultra 2 Launch"/>
  </r>
  <r>
    <s v="A186"/>
    <x v="2"/>
    <s v="2024-08-24"/>
    <x v="2"/>
    <s v="#AppleDesign #Innovation"/>
    <s v="AppleDesign  Innovation"/>
    <n v="24890"/>
    <n v="217"/>
    <n v="178"/>
    <n v="906"/>
    <n v="54826"/>
    <n v="107203"/>
    <n v="25107.001660401296"/>
    <n v="26191"/>
    <n v="24.431219275579974"/>
    <s v="Sustainability Awareness Drive"/>
  </r>
  <r>
    <s v="A187"/>
    <x v="3"/>
    <s v="2024-12-22"/>
    <x v="1"/>
    <s v="#Sustainability #AppleEarth"/>
    <s v="Sustainability  AppleEarth"/>
    <n v="7870"/>
    <n v="968"/>
    <n v="626"/>
    <n v="465"/>
    <n v="27184"/>
    <n v="44114"/>
    <n v="8838.0141905064156"/>
    <n v="9929"/>
    <n v="22.507593961100785"/>
    <s v="MacBook Air M3 Campaign"/>
  </r>
  <r>
    <s v="A188"/>
    <x v="0"/>
    <s v="2024-06-06"/>
    <x v="3"/>
    <s v="#Sustainability #AppleEarth"/>
    <s v="Sustainability  AppleEarth"/>
    <n v="3531"/>
    <n v="789"/>
    <n v="467"/>
    <n v="1867"/>
    <n v="40816"/>
    <n v="236037"/>
    <n v="4320.0019785033701"/>
    <n v="6654"/>
    <n v="2.8190495557899817"/>
    <s v="Sustainability Awareness Drive"/>
  </r>
  <r>
    <s v="A189"/>
    <x v="0"/>
    <s v="2025-03-24"/>
    <x v="0"/>
    <s v="#ShotOniPhone"/>
    <s v="ShotOniPhone"/>
    <n v="10172"/>
    <n v="1398"/>
    <n v="394"/>
    <n v="2358"/>
    <n v="59610"/>
    <n v="76321"/>
    <n v="11570.005162406153"/>
    <n v="14322"/>
    <n v="18.765477391543612"/>
    <s v="iPhone 16 Launch"/>
  </r>
  <r>
    <s v="A190"/>
    <x v="3"/>
    <s v="2024-10-04"/>
    <x v="0"/>
    <s v="#AppleMusic #AppleLifestyle"/>
    <s v="AppleMusic  AppleLifestyle"/>
    <n v="21729"/>
    <n v="1209"/>
    <n v="897"/>
    <n v="1624"/>
    <n v="38771"/>
    <n v="113297"/>
    <n v="22938.007917244056"/>
    <n v="25459"/>
    <n v="22.471027476455689"/>
    <s v="iPhone 16 Launch"/>
  </r>
  <r>
    <s v="A191"/>
    <x v="0"/>
    <d v="2025-10-14T00:00:00"/>
    <x v="3"/>
    <s v="#iPhonePhotography #ShotOniPhone"/>
    <s v="iPhonePhotography  ShotOniPhone"/>
    <n v="9673"/>
    <n v="393"/>
    <n v="846"/>
    <n v="1028"/>
    <n v="55556"/>
    <n v="136652"/>
    <n v="10066.006190908292"/>
    <n v="11940"/>
    <n v="8.7375230512542821"/>
    <s v="Apple Event September 2025"/>
  </r>
  <r>
    <s v="A192"/>
    <x v="0"/>
    <d v="2025-10-15T00:00:00"/>
    <x v="0"/>
    <s v="#AppleWatch #Health"/>
    <s v="AppleWatch  Health"/>
    <n v="8882"/>
    <n v="701"/>
    <n v="421"/>
    <n v="2343"/>
    <n v="13588"/>
    <n v="139304"/>
    <n v="9583.003022167346"/>
    <n v="12347"/>
    <n v="8.8633492218457466"/>
    <s v="Apple Event September 2025"/>
  </r>
  <r>
    <s v="A193"/>
    <x v="2"/>
    <s v="2024-09-11"/>
    <x v="0"/>
    <s v="#AppleWatch #Health"/>
    <s v="AppleWatch  Health"/>
    <n v="3906"/>
    <n v="1187"/>
    <n v="589"/>
    <n v="401"/>
    <n v="52687"/>
    <n v="196498"/>
    <n v="5093.0029974859799"/>
    <n v="6083"/>
    <n v="3.0957058087105209"/>
    <s v="Apple Watch Ultra 2 Launch"/>
  </r>
  <r>
    <s v="A194"/>
    <x v="0"/>
    <s v="2024-10-02"/>
    <x v="2"/>
    <s v="#AppleMusic #AppleLifestyle"/>
    <s v="AppleMusic  AppleLifestyle"/>
    <n v="5086"/>
    <n v="1336"/>
    <n v="897"/>
    <n v="1715"/>
    <n v="60592"/>
    <n v="57772"/>
    <n v="6422.0155265526555"/>
    <n v="9034"/>
    <n v="15.637332964065637"/>
    <s v="Sustainability Awareness Drive"/>
  </r>
  <r>
    <s v="A195"/>
    <x v="0"/>
    <s v="2024-08-15"/>
    <x v="0"/>
    <s v="#iPhone16Launch #AppleEvent"/>
    <s v="iPhone16Launch  AppleEvent"/>
    <n v="15503"/>
    <n v="313"/>
    <n v="388"/>
    <n v="1078"/>
    <n v="11500"/>
    <n v="143754"/>
    <n v="15816.002699055331"/>
    <n v="17282"/>
    <n v="12.021926346397317"/>
    <s v="iPhone 16 Launch"/>
  </r>
  <r>
    <s v="A196"/>
    <x v="3"/>
    <d v="2025-09-18T00:00:00"/>
    <x v="1"/>
    <s v="#MacBookProM3"/>
    <s v="MacBookProM3"/>
    <n v="10152"/>
    <n v="1445"/>
    <n v="526"/>
    <n v="513"/>
    <n v="18959"/>
    <n v="43712"/>
    <n v="11597.012033308931"/>
    <n v="12636"/>
    <n v="28.907393850658856"/>
    <s v="Apple Event September 2025"/>
  </r>
  <r>
    <s v="A197"/>
    <x v="3"/>
    <s v="2024-10-22"/>
    <x v="1"/>
    <s v="#AppleDesign #Innovation"/>
    <s v="AppleDesign  Innovation"/>
    <n v="7750"/>
    <n v="1146"/>
    <n v="415"/>
    <n v="1411"/>
    <n v="85339"/>
    <n v="172439"/>
    <n v="8896.0024066481474"/>
    <n v="10722"/>
    <n v="6.2178509501910817"/>
    <s v="Sustainability Awareness Drive"/>
  </r>
  <r>
    <s v="A198"/>
    <x v="1"/>
    <d v="2025-09-19T00:00:00"/>
    <x v="3"/>
    <s v="#AppleEvent #iPadPro"/>
    <s v="AppleEvent  iPadPro"/>
    <n v="14772"/>
    <n v="1030"/>
    <n v="508"/>
    <n v="1876"/>
    <n v="8882"/>
    <n v="155142"/>
    <n v="15802.003274419563"/>
    <n v="18186"/>
    <n v="11.722164210851993"/>
    <s v="Apple Event September 2025"/>
  </r>
  <r>
    <s v="A199"/>
    <x v="2"/>
    <d v="2025-09-20T00:00:00"/>
    <x v="0"/>
    <s v="#AppleWatch #Health"/>
    <s v="AppleWatch  Health"/>
    <n v="12267"/>
    <n v="1487"/>
    <n v="489"/>
    <n v="2748"/>
    <n v="34685"/>
    <n v="131736"/>
    <n v="13754.003711969393"/>
    <n v="16991"/>
    <n v="12.897765227424546"/>
    <s v="Apple Event September 2025"/>
  </r>
  <r>
    <s v="A200"/>
    <x v="0"/>
    <s v="2025-04-07"/>
    <x v="3"/>
    <s v="#iPhonePhotography #ShotOniPhone"/>
    <s v="iPhonePhotography  ShotOniPhone"/>
    <n v="3062"/>
    <n v="1124"/>
    <n v="538"/>
    <n v="2935"/>
    <n v="69749"/>
    <n v="91924"/>
    <n v="4186.0058526608937"/>
    <n v="7659"/>
    <n v="8.3318828597537102"/>
    <s v="iPhone 16 Launch"/>
  </r>
  <r>
    <s v="A201"/>
    <x v="0"/>
    <s v="2025-01-15"/>
    <x v="1"/>
    <s v="#ShotOniPhone"/>
    <s v="ShotOniPhone"/>
    <n v="20360"/>
    <n v="254"/>
    <n v="726"/>
    <n v="1995"/>
    <n v="14280"/>
    <n v="43726"/>
    <n v="20614.016603393862"/>
    <n v="23335"/>
    <n v="53.366418149384806"/>
    <s v="iPhone 16 Launch"/>
  </r>
  <r>
    <s v="A202"/>
    <x v="1"/>
    <d v="2025-09-21T00:00:00"/>
    <x v="0"/>
    <s v="#Sustainability #AppleEarth"/>
    <s v="Sustainability  AppleEarth"/>
    <n v="19680"/>
    <n v="999"/>
    <n v="838"/>
    <n v="891"/>
    <n v="29576"/>
    <n v="129152"/>
    <n v="20679.006488478692"/>
    <n v="22408"/>
    <n v="17.350099108027749"/>
    <s v="Apple Event September 2025"/>
  </r>
  <r>
    <s v="A203"/>
    <x v="0"/>
    <s v="2024-11-21"/>
    <x v="0"/>
    <s v="#AppleWatch #Health"/>
    <s v="AppleWatch  Health"/>
    <n v="8229"/>
    <n v="977"/>
    <n v="152"/>
    <n v="1633"/>
    <n v="71447"/>
    <n v="67723"/>
    <n v="9206.0022444368969"/>
    <n v="10991"/>
    <n v="16.229346012432998"/>
    <s v="MacBook Air M3 Campaign"/>
  </r>
  <r>
    <s v="A204"/>
    <x v="2"/>
    <d v="2025-09-22T00:00:00"/>
    <x v="3"/>
    <s v="#ShotOniPhone"/>
    <s v="ShotOniPhone"/>
    <n v="18509"/>
    <n v="361"/>
    <n v="578"/>
    <n v="1409"/>
    <n v="10569"/>
    <n v="166969"/>
    <n v="18870.00346172044"/>
    <n v="20857"/>
    <n v="12.491540345812696"/>
    <s v="Apple Event September 2025"/>
  </r>
  <r>
    <s v="A205"/>
    <x v="1"/>
    <d v="2025-09-23T00:00:00"/>
    <x v="1"/>
    <s v="#AppleEvent #iPhone16"/>
    <s v="AppleEvent  iPhone16"/>
    <n v="17147"/>
    <n v="286"/>
    <n v="291"/>
    <n v="2439"/>
    <n v="45631"/>
    <n v="140494"/>
    <n v="17433.002071262828"/>
    <n v="20163"/>
    <n v="14.351502555269263"/>
    <s v="Apple Event September 2025"/>
  </r>
  <r>
    <s v="A206"/>
    <x v="2"/>
    <s v="2024-06-24"/>
    <x v="0"/>
    <s v="#AppleEvent #iPhone16"/>
    <s v="AppleEvent  iPhone16"/>
    <n v="6632"/>
    <n v="254"/>
    <n v="525"/>
    <n v="1013"/>
    <n v="13838"/>
    <n v="180180"/>
    <n v="6886.0029137529136"/>
    <n v="8424"/>
    <n v="4.6753246753246751"/>
    <s v="Apple Watch Ultra 2 Launch"/>
  </r>
  <r>
    <s v="A207"/>
    <x v="1"/>
    <s v="2024-12-29"/>
    <x v="3"/>
    <s v="#MacBookProM3"/>
    <s v="MacBookProM3"/>
    <n v="8288"/>
    <n v="1401"/>
    <n v="819"/>
    <n v="1235"/>
    <n v="33446"/>
    <n v="248786"/>
    <n v="9689.0032919858841"/>
    <n v="11743"/>
    <n v="4.7201209071249997"/>
    <s v="Apple Watch Ultra 2 Launch"/>
  </r>
  <r>
    <s v="A208"/>
    <x v="1"/>
    <s v="2024-06-24"/>
    <x v="1"/>
    <s v="#MacBookAirM3 #AppleInnovation"/>
    <s v="MacBookAirM3  AppleInnovation"/>
    <n v="5596"/>
    <n v="1231"/>
    <n v="473"/>
    <n v="2251"/>
    <n v="43705"/>
    <n v="75643"/>
    <n v="6827.006253057124"/>
    <n v="9551"/>
    <n v="12.626416191848552"/>
    <s v="Apple Watch Ultra 2 Launch"/>
  </r>
  <r>
    <s v="A209"/>
    <x v="3"/>
    <s v="2025-03-19"/>
    <x v="3"/>
    <s v="#AppleEvent #iPadPro"/>
    <s v="AppleEvent  iPadPro"/>
    <n v="13475"/>
    <n v="1032"/>
    <n v="295"/>
    <n v="541"/>
    <n v="43666"/>
    <n v="202396"/>
    <n v="14507.001457538687"/>
    <n v="15343"/>
    <n v="7.5806834127156666"/>
    <s v="MacBook Air M3 Campaign"/>
  </r>
  <r>
    <s v="A210"/>
    <x v="2"/>
    <s v="2025-02-19"/>
    <x v="2"/>
    <s v="#iPhone16Launch #AppleEvent"/>
    <s v="iPhone16Launch  AppleEvent"/>
    <n v="8168"/>
    <n v="512"/>
    <n v="442"/>
    <n v="2343"/>
    <n v="2753"/>
    <n v="143896"/>
    <n v="8680.003071662868"/>
    <n v="11465"/>
    <n v="7.9675599043753822"/>
    <s v="MacBook Air M3 Campaign"/>
  </r>
  <r>
    <s v="A211"/>
    <x v="0"/>
    <d v="2025-09-24T00:00:00"/>
    <x v="0"/>
    <s v="#MacBookProM3"/>
    <s v="MacBookProM3"/>
    <n v="11795"/>
    <n v="958"/>
    <n v="814"/>
    <n v="301"/>
    <n v="12564"/>
    <n v="179999"/>
    <n v="12753.004522247345"/>
    <n v="13868"/>
    <n v="7.7044872471513735"/>
    <s v="Apple Event September 2025"/>
  </r>
  <r>
    <s v="A212"/>
    <x v="0"/>
    <s v="2025-03-03"/>
    <x v="2"/>
    <s v="#AppleWatchUltra2 #HealthTech"/>
    <s v="AppleWatchUltra2  HealthTech"/>
    <n v="9561"/>
    <n v="642"/>
    <n v="581"/>
    <n v="2572"/>
    <n v="38552"/>
    <n v="133680"/>
    <n v="10203.004346199881"/>
    <n v="13356"/>
    <n v="9.9910233393177741"/>
    <s v="Apple Watch Ultra 2 Launch"/>
  </r>
  <r>
    <s v="A213"/>
    <x v="2"/>
    <s v="2025-05-01"/>
    <x v="1"/>
    <s v="#iPhone16Launch #AppleEvent"/>
    <s v="iPhone16Launch  AppleEvent"/>
    <n v="10258"/>
    <n v="527"/>
    <n v="854"/>
    <n v="2068"/>
    <n v="45632"/>
    <n v="136546"/>
    <n v="10785.00625430258"/>
    <n v="13707"/>
    <n v="10.038375346037233"/>
    <s v="MacBook Air M3 Campaign"/>
  </r>
  <r>
    <s v="A214"/>
    <x v="0"/>
    <s v="2024-12-23"/>
    <x v="2"/>
    <s v="#AppleDesign #Innovation"/>
    <s v="AppleDesign  Innovation"/>
    <n v="18616"/>
    <n v="1277"/>
    <n v="734"/>
    <n v="2249"/>
    <n v="3399"/>
    <n v="193515"/>
    <n v="19893.003792987623"/>
    <n v="22876"/>
    <n v="11.821305841924397"/>
    <s v="iPhone 16 Launch"/>
  </r>
  <r>
    <s v="A215"/>
    <x v="0"/>
    <d v="2025-09-25T00:00:00"/>
    <x v="2"/>
    <s v="#iPhonePhotography #ShotOniPhone"/>
    <s v="iPhonePhotography  ShotOniPhone"/>
    <n v="8371"/>
    <n v="960"/>
    <n v="548"/>
    <n v="2936"/>
    <n v="82543"/>
    <n v="119973"/>
    <n v="9331.0045676943973"/>
    <n v="12815"/>
    <n v="10.68157001992115"/>
    <s v="Apple Event September 2025"/>
  </r>
  <r>
    <s v="A216"/>
    <x v="2"/>
    <s v="2024-07-29"/>
    <x v="1"/>
    <s v="#AppleWatchUltra2 #HealthTech"/>
    <s v="AppleWatchUltra2  HealthTech"/>
    <n v="22590"/>
    <n v="1462"/>
    <n v="966"/>
    <n v="2463"/>
    <n v="29689"/>
    <n v="103449"/>
    <n v="24052.009337934633"/>
    <n v="27481"/>
    <n v="26.564780713201674"/>
    <s v="Sustainability Awareness Drive"/>
  </r>
  <r>
    <s v="A217"/>
    <x v="1"/>
    <d v="2025-09-26T00:00:00"/>
    <x v="3"/>
    <s v="#AppleWatchUltra2 #HealthTech"/>
    <s v="AppleWatchUltra2  HealthTech"/>
    <n v="16369"/>
    <n v="1452"/>
    <n v="493"/>
    <n v="1217"/>
    <n v="91440"/>
    <n v="149834"/>
    <n v="17821.003290307941"/>
    <n v="19531"/>
    <n v="13.035092168666656"/>
    <s v="Apple Event September 2025"/>
  </r>
  <r>
    <s v="A218"/>
    <x v="2"/>
    <s v="2024-06-11"/>
    <x v="2"/>
    <s v="#MacBookProM3"/>
    <s v="MacBookProM3"/>
    <n v="14910"/>
    <n v="778"/>
    <n v="289"/>
    <n v="2541"/>
    <n v="14309"/>
    <n v="247815"/>
    <n v="15688.001166192522"/>
    <n v="18518"/>
    <n v="7.4725097350846399"/>
    <s v="Sustainability Awareness Drive"/>
  </r>
  <r>
    <s v="A219"/>
    <x v="1"/>
    <s v="2025-01-28"/>
    <x v="3"/>
    <s v="#AppleMusic #AppleLifestyle"/>
    <s v="AppleMusic  AppleLifestyle"/>
    <n v="9943"/>
    <n v="1274"/>
    <n v="336"/>
    <n v="389"/>
    <n v="6145"/>
    <n v="231305"/>
    <n v="11217.001452627483"/>
    <n v="11942"/>
    <n v="5.1628801798491173"/>
    <s v="Apple Watch Ultra 2 Launch"/>
  </r>
  <r>
    <s v="A220"/>
    <x v="0"/>
    <s v="2024-06-02"/>
    <x v="2"/>
    <s v="#MacBookAirM3 #AppleInnovation"/>
    <s v="MacBookAirM3  AppleInnovation"/>
    <n v="14199"/>
    <n v="1206"/>
    <n v="954"/>
    <n v="2009"/>
    <n v="8"/>
    <n v="65537"/>
    <n v="15405.014556662649"/>
    <n v="18368"/>
    <n v="28.026916093199262"/>
    <s v="Sustainability Awareness Drive"/>
  </r>
  <r>
    <s v="A221"/>
    <x v="0"/>
    <s v="2025-03-23"/>
    <x v="3"/>
    <s v="#AppleMusic #AppleLifestyle"/>
    <s v="AppleMusic  AppleLifestyle"/>
    <n v="17728"/>
    <n v="1487"/>
    <n v="210"/>
    <n v="2469"/>
    <n v="30565"/>
    <n v="117576"/>
    <n v="19215.001786078792"/>
    <n v="21894"/>
    <n v="18.621147172892428"/>
    <s v="Apple Watch Ultra 2 Launch"/>
  </r>
  <r>
    <s v="A222"/>
    <x v="0"/>
    <s v="2024-10-08"/>
    <x v="1"/>
    <s v="#MacBookProM3"/>
    <s v="MacBookProM3"/>
    <n v="8738"/>
    <n v="295"/>
    <n v="529"/>
    <n v="442"/>
    <n v="25286"/>
    <n v="147522"/>
    <n v="9033.0035859058316"/>
    <n v="10004"/>
    <n v="6.7813614240587849"/>
    <s v="iPhone 16 Launch"/>
  </r>
  <r>
    <s v="A223"/>
    <x v="3"/>
    <s v="2024-11-12"/>
    <x v="2"/>
    <s v="#AppleDesign #Innovation"/>
    <s v="AppleDesign  Innovation"/>
    <n v="17913"/>
    <n v="1311"/>
    <n v="859"/>
    <n v="405"/>
    <n v="59842"/>
    <n v="62612"/>
    <n v="19224.013719414808"/>
    <n v="20488"/>
    <n v="32.722161885900462"/>
    <s v="Sustainability Awareness Drive"/>
  </r>
  <r>
    <s v="A224"/>
    <x v="1"/>
    <d v="2025-09-07T00:00:00"/>
    <x v="1"/>
    <s v="#Sustainability #AppleEarth"/>
    <s v="Sustainability  AppleEarth"/>
    <n v="4472"/>
    <n v="1301"/>
    <n v="956"/>
    <n v="1186"/>
    <n v="3363"/>
    <n v="46471"/>
    <n v="5773.020571969615"/>
    <n v="7915"/>
    <n v="17.032127563426652"/>
    <s v="Apple Event September 2025"/>
  </r>
  <r>
    <s v="A225"/>
    <x v="3"/>
    <s v="2024-06-20"/>
    <x v="2"/>
    <s v="#AppleWatch #Health"/>
    <s v="AppleWatch  Health"/>
    <n v="21123"/>
    <n v="1343"/>
    <n v="589"/>
    <n v="727"/>
    <n v="87833"/>
    <n v="206703"/>
    <n v="22466.00284949904"/>
    <n v="23782"/>
    <n v="11.50539663188246"/>
    <s v="Apple Watch Ultra 2 Launch"/>
  </r>
  <r>
    <s v="A226"/>
    <x v="3"/>
    <d v="2025-09-08T00:00:00"/>
    <x v="1"/>
    <s v="#AppleWatch #Health"/>
    <s v="AppleWatch  Health"/>
    <n v="23785"/>
    <n v="1013"/>
    <n v="468"/>
    <n v="1628"/>
    <n v="8272"/>
    <n v="71348"/>
    <n v="24798.006559399004"/>
    <n v="26894"/>
    <n v="37.694118966193869"/>
    <s v="Apple Event September 2025"/>
  </r>
  <r>
    <s v="A227"/>
    <x v="2"/>
    <s v="2024-06-12"/>
    <x v="1"/>
    <s v="#MacBookAirM3 #AppleInnovation"/>
    <s v="MacBookAirM3  AppleInnovation"/>
    <n v="17679"/>
    <n v="690"/>
    <n v="451"/>
    <n v="2195"/>
    <n v="4390"/>
    <n v="235804"/>
    <n v="18369.001912605385"/>
    <n v="21015"/>
    <n v="8.9120625604315453"/>
    <s v="MacBook Air M3 Campaign"/>
  </r>
  <r>
    <s v="A228"/>
    <x v="3"/>
    <s v="2024-07-01"/>
    <x v="2"/>
    <s v="#AppleDesign #Innovation"/>
    <s v="AppleDesign  Innovation"/>
    <n v="3761"/>
    <n v="651"/>
    <n v="493"/>
    <n v="2294"/>
    <n v="71696"/>
    <n v="41177"/>
    <n v="4412.0119727032079"/>
    <n v="7199"/>
    <n v="17.48306093207373"/>
    <s v="Apple Watch Ultra 2 Launch"/>
  </r>
  <r>
    <s v="A229"/>
    <x v="2"/>
    <s v="2024-07-03"/>
    <x v="2"/>
    <s v="#MacBookAirM3 #AppleInnovation"/>
    <s v="MacBookAirM3  AppleInnovation"/>
    <n v="12167"/>
    <n v="364"/>
    <n v="160"/>
    <n v="616"/>
    <n v="42228"/>
    <n v="175832"/>
    <n v="12531.000909959506"/>
    <n v="13307"/>
    <n v="7.5680194731334458"/>
    <s v="Sustainability Awareness Drive"/>
  </r>
  <r>
    <s v="A230"/>
    <x v="2"/>
    <s v="2024-07-15"/>
    <x v="2"/>
    <s v="#ShotOniPhone"/>
    <s v="ShotOniPhone"/>
    <n v="12554"/>
    <n v="381"/>
    <n v="211"/>
    <n v="2286"/>
    <n v="50567"/>
    <n v="72779"/>
    <n v="12935.002899187952"/>
    <n v="15432"/>
    <n v="21.203918712815508"/>
    <s v="Apple Watch Ultra 2 Launch"/>
  </r>
  <r>
    <s v="A231"/>
    <x v="3"/>
    <d v="2025-09-09T00:00:00"/>
    <x v="0"/>
    <s v="#AppleMusic #AppleLifestyle"/>
    <s v="AppleMusic  AppleLifestyle"/>
    <n v="19260"/>
    <n v="668"/>
    <n v="994"/>
    <n v="934"/>
    <n v="20509"/>
    <n v="61636"/>
    <n v="19928.016126938801"/>
    <n v="21856"/>
    <n v="35.459796222986569"/>
    <s v="Apple Event September 2025"/>
  </r>
  <r>
    <s v="A232"/>
    <x v="1"/>
    <s v="2025-04-29"/>
    <x v="3"/>
    <s v="#AppleWatch #Health"/>
    <s v="AppleWatch  Health"/>
    <n v="16277"/>
    <n v="1109"/>
    <n v="375"/>
    <n v="2225"/>
    <n v="1044"/>
    <n v="121889"/>
    <n v="17386.003076569665"/>
    <n v="19986"/>
    <n v="16.396885691079589"/>
    <s v="iPhone 16 Launch"/>
  </r>
  <r>
    <s v="A233"/>
    <x v="1"/>
    <s v="2025-03-08"/>
    <x v="0"/>
    <s v="#AppleWatchUltra2 #HealthTech"/>
    <s v="AppleWatchUltra2  HealthTech"/>
    <n v="5812"/>
    <n v="934"/>
    <n v="302"/>
    <n v="2356"/>
    <n v="37437"/>
    <n v="93551"/>
    <n v="6746.0032281856957"/>
    <n v="9404"/>
    <n v="10.05227095381129"/>
    <s v="Apple Watch Ultra 2 Launch"/>
  </r>
  <r>
    <s v="A234"/>
    <x v="1"/>
    <s v="2024-06-01"/>
    <x v="0"/>
    <s v="#AppleMusic #AppleLifestyle"/>
    <s v="AppleMusic  AppleLifestyle"/>
    <n v="19844"/>
    <n v="1022"/>
    <n v="860"/>
    <n v="2570"/>
    <n v="23719"/>
    <n v="182628"/>
    <n v="20866.004709025998"/>
    <n v="24296"/>
    <n v="13.303546006088879"/>
    <s v="Sustainability Awareness Drive"/>
  </r>
  <r>
    <s v="A235"/>
    <x v="1"/>
    <s v="2024-12-22"/>
    <x v="1"/>
    <s v="#AppleEvent #iPadPro"/>
    <s v="AppleEvent  iPadPro"/>
    <n v="20117"/>
    <n v="1143"/>
    <n v="713"/>
    <n v="1739"/>
    <n v="34444"/>
    <n v="198670"/>
    <n v="21260.003588865959"/>
    <n v="23712"/>
    <n v="11.935370211909197"/>
    <s v="MacBook Air M3 Campaign"/>
  </r>
  <r>
    <s v="A236"/>
    <x v="1"/>
    <s v="2024-08-19"/>
    <x v="2"/>
    <s v="#iPhonePhotography #ShotOniPhone"/>
    <s v="iPhonePhotography  ShotOniPhone"/>
    <n v="3605"/>
    <n v="206"/>
    <n v="921"/>
    <n v="852"/>
    <n v="11660"/>
    <n v="182635"/>
    <n v="3811.0050428450186"/>
    <n v="5584"/>
    <n v="3.0574643414460536"/>
    <s v="iPhone 16 Launch"/>
  </r>
  <r>
    <s v="A237"/>
    <x v="3"/>
    <s v="2024-10-22"/>
    <x v="3"/>
    <s v="#AppleDesign #Innovation"/>
    <s v="AppleDesign  Innovation"/>
    <n v="7622"/>
    <n v="529"/>
    <n v="720"/>
    <n v="1015"/>
    <n v="71322"/>
    <n v="86819"/>
    <n v="8151.0082931155621"/>
    <n v="9886"/>
    <n v="11.386908395627685"/>
    <s v="MacBook Air M3 Campaign"/>
  </r>
  <r>
    <s v="A238"/>
    <x v="3"/>
    <s v="2024-07-16"/>
    <x v="1"/>
    <s v="#iPhone16Launch #AppleEvent"/>
    <s v="iPhone16Launch  AppleEvent"/>
    <n v="8767"/>
    <n v="974"/>
    <n v="733"/>
    <n v="1587"/>
    <n v="74927"/>
    <n v="113770"/>
    <n v="9741.0064428232399"/>
    <n v="12061"/>
    <n v="10.601212973543113"/>
    <s v="Apple Watch Ultra 2 Launch"/>
  </r>
  <r>
    <s v="A239"/>
    <x v="0"/>
    <d v="2025-09-10T00:00:00"/>
    <x v="0"/>
    <s v="#MacBookAirM3 #AppleInnovation"/>
    <s v="MacBookAirM3  AppleInnovation"/>
    <n v="13613"/>
    <n v="350"/>
    <n v="809"/>
    <n v="2013"/>
    <n v="20471"/>
    <n v="198038"/>
    <n v="13963.004085074581"/>
    <n v="16785"/>
    <n v="8.4756460881245008"/>
    <s v="Apple Event September 2025"/>
  </r>
  <r>
    <s v="A240"/>
    <x v="1"/>
    <d v="2025-09-11T00:00:00"/>
    <x v="2"/>
    <s v="#AppleMusic #AppleLifestyle"/>
    <s v="AppleMusic  AppleLifestyle"/>
    <n v="21901"/>
    <n v="1308"/>
    <n v="724"/>
    <n v="2183"/>
    <n v="15996"/>
    <n v="230961"/>
    <n v="23209.003134728373"/>
    <n v="26116"/>
    <n v="11.307536770277233"/>
    <s v="Apple Event September 2025"/>
  </r>
  <r>
    <s v="A241"/>
    <x v="3"/>
    <s v="2025-01-18"/>
    <x v="1"/>
    <s v="#iPhonePhotography #ShotOniPhone"/>
    <s v="iPhonePhotography  ShotOniPhone"/>
    <n v="12589"/>
    <n v="346"/>
    <n v="459"/>
    <n v="1407"/>
    <n v="29254"/>
    <n v="198059"/>
    <n v="12935.002317491253"/>
    <n v="14801"/>
    <n v="7.4730257145598031"/>
    <s v="Sustainability Awareness Drive"/>
  </r>
  <r>
    <s v="A242"/>
    <x v="0"/>
    <d v="2025-09-12T00:00:00"/>
    <x v="2"/>
    <s v="#AppleMusic #AppleLifestyle"/>
    <s v="AppleMusic  AppleLifestyle"/>
    <n v="15918"/>
    <n v="1114"/>
    <n v="392"/>
    <n v="1641"/>
    <n v="28044"/>
    <n v="118714"/>
    <n v="17032.003302053676"/>
    <n v="19065"/>
    <n v="16.059605438280236"/>
    <s v="Apple Event September 2025"/>
  </r>
  <r>
    <s v="A243"/>
    <x v="1"/>
    <s v="2025-03-06"/>
    <x v="1"/>
    <s v="#iPhone16Launch #AppleEvent"/>
    <s v="iPhone16Launch  AppleEvent"/>
    <n v="22119"/>
    <n v="899"/>
    <n v="642"/>
    <n v="410"/>
    <n v="49490"/>
    <n v="229420"/>
    <n v="23018.002798361085"/>
    <n v="24070"/>
    <n v="10.491674657832796"/>
    <s v="iPhone 16 Launch"/>
  </r>
  <r>
    <s v="A244"/>
    <x v="2"/>
    <d v="2025-09-13T00:00:00"/>
    <x v="2"/>
    <s v="#iPhonePhotography #ShotOniPhone"/>
    <s v="iPhonePhotography  ShotOniPhone"/>
    <n v="15046"/>
    <n v="281"/>
    <n v="515"/>
    <n v="550"/>
    <n v="22583"/>
    <n v="64596"/>
    <n v="15327.007972629885"/>
    <n v="16392"/>
    <n v="25.376184283856585"/>
    <s v="Apple Event September 2025"/>
  </r>
  <r>
    <s v="A245"/>
    <x v="0"/>
    <s v="2025-01-12"/>
    <x v="0"/>
    <s v="#AppleEvent #iPadPro"/>
    <s v="AppleEvent  iPadPro"/>
    <n v="4590"/>
    <n v="713"/>
    <n v="479"/>
    <n v="2730"/>
    <n v="41050"/>
    <n v="204246"/>
    <n v="5303.0023452111673"/>
    <n v="8512"/>
    <n v="4.1675234765919527"/>
    <s v="Sustainability Awareness Drive"/>
  </r>
  <r>
    <s v="A246"/>
    <x v="3"/>
    <s v="2024-10-11"/>
    <x v="3"/>
    <s v="#iPhone16Launch #AppleEvent"/>
    <s v="iPhone16Launch  AppleEvent"/>
    <n v="19447"/>
    <n v="1014"/>
    <n v="256"/>
    <n v="2354"/>
    <n v="5472"/>
    <n v="104106"/>
    <n v="20461.002459032141"/>
    <n v="23071"/>
    <n v="22.161066605190864"/>
    <s v="Apple Watch Ultra 2 Launch"/>
  </r>
  <r>
    <s v="A247"/>
    <x v="2"/>
    <s v="2024-08-27"/>
    <x v="0"/>
    <s v="#MacBookProM3"/>
    <s v="MacBookProM3"/>
    <n v="6324"/>
    <n v="908"/>
    <n v="375"/>
    <n v="758"/>
    <n v="34850"/>
    <n v="241039"/>
    <n v="7232.0015557648348"/>
    <n v="8365"/>
    <n v="3.470392758018412"/>
    <s v="Apple Watch Ultra 2 Launch"/>
  </r>
  <r>
    <s v="A248"/>
    <x v="2"/>
    <d v="2025-09-14T00:00:00"/>
    <x v="3"/>
    <s v="#AppleEvent #iPhone16"/>
    <s v="AppleEvent  iPhone16"/>
    <n v="12787"/>
    <n v="945"/>
    <n v="974"/>
    <n v="1407"/>
    <n v="4037"/>
    <n v="99182"/>
    <n v="13732.009820330302"/>
    <n v="16113"/>
    <n v="16.24589139158315"/>
    <s v="Apple Event September 2025"/>
  </r>
  <r>
    <s v="A249"/>
    <x v="2"/>
    <s v="2024-07-18"/>
    <x v="2"/>
    <s v="#MacBookProM3"/>
    <s v="MacBookProM3"/>
    <n v="11111"/>
    <n v="1222"/>
    <n v="367"/>
    <n v="507"/>
    <n v="14129"/>
    <n v="127163"/>
    <n v="12333.002886059625"/>
    <n v="13207"/>
    <n v="10.38588268600143"/>
    <s v="MacBook Air M3 Campaign"/>
  </r>
  <r>
    <s v="A250"/>
    <x v="0"/>
    <s v="2024-06-22"/>
    <x v="1"/>
    <s v="#AppleWatch #Health"/>
    <s v="AppleWatch  Health"/>
    <n v="7342"/>
    <n v="906"/>
    <n v="902"/>
    <n v="1199"/>
    <n v="68488"/>
    <n v="79310"/>
    <n v="8248.0113730929261"/>
    <n v="10349"/>
    <n v="13.048795864329845"/>
    <s v="Apple Watch Ultra 2 Launch"/>
  </r>
  <r>
    <s v="A251"/>
    <x v="3"/>
    <d v="2025-09-15T00:00:00"/>
    <x v="0"/>
    <s v="#AppleMusic #AppleLifestyle"/>
    <s v="AppleMusic  AppleLifestyle"/>
    <n v="18389"/>
    <n v="670"/>
    <n v="655"/>
    <n v="321"/>
    <n v="21869"/>
    <n v="96088"/>
    <n v="19059.006816668054"/>
    <n v="20035"/>
    <n v="20.850678544667389"/>
    <s v="Apple Event September 2025"/>
  </r>
  <r>
    <s v="A252"/>
    <x v="2"/>
    <s v="2025-04-28"/>
    <x v="3"/>
    <s v="#AppleEvent #iPhone16"/>
    <s v="AppleEvent  iPhone16"/>
    <n v="10659"/>
    <n v="1342"/>
    <n v="408"/>
    <n v="709"/>
    <n v="16309"/>
    <n v="168803"/>
    <n v="12001.002417018655"/>
    <n v="13118"/>
    <n v="7.7711889006711967"/>
    <s v="Sustainability Awareness Drive"/>
  </r>
  <r>
    <s v="A253"/>
    <x v="1"/>
    <d v="2025-09-16T00:00:00"/>
    <x v="0"/>
    <s v="#MacBookProM3"/>
    <s v="MacBookProM3"/>
    <n v="16043"/>
    <n v="595"/>
    <n v="923"/>
    <n v="1194"/>
    <n v="52613"/>
    <n v="179978"/>
    <n v="16638.005128404584"/>
    <n v="18755"/>
    <n v="10.420718087766282"/>
    <s v="Apple Event September 2025"/>
  </r>
  <r>
    <s v="A254"/>
    <x v="2"/>
    <s v="2025-01-14"/>
    <x v="3"/>
    <s v="#AppleEvent #iPhone16"/>
    <s v="AppleEvent  iPhone16"/>
    <n v="24350"/>
    <n v="460"/>
    <n v="666"/>
    <n v="814"/>
    <n v="21120"/>
    <n v="76914"/>
    <n v="24810.008659021765"/>
    <n v="26290"/>
    <n v="34.181033361936706"/>
    <s v="Apple Watch Ultra 2 Launch"/>
  </r>
  <r>
    <s v="A255"/>
    <x v="2"/>
    <s v="2025-04-03"/>
    <x v="0"/>
    <s v="#Sustainability #AppleEarth"/>
    <s v="Sustainability  AppleEarth"/>
    <n v="10837"/>
    <n v="1004"/>
    <n v="922"/>
    <n v="1108"/>
    <n v="36807"/>
    <n v="150350"/>
    <n v="11841.006132357832"/>
    <n v="13871"/>
    <n v="9.2258064516129021"/>
    <s v="Sustainability Awareness Drive"/>
  </r>
  <r>
    <s v="A256"/>
    <x v="0"/>
    <d v="2025-09-17T00:00:00"/>
    <x v="3"/>
    <s v="#AppleMusic #AppleLifestyle"/>
    <s v="AppleMusic  AppleLifestyle"/>
    <n v="2117"/>
    <n v="1133"/>
    <n v="203"/>
    <n v="1173"/>
    <n v="40125"/>
    <n v="85379"/>
    <n v="3250.0023776338444"/>
    <n v="4626"/>
    <n v="5.4181941695264646"/>
    <s v="Apple Event September 2025"/>
  </r>
  <r>
    <s v="A257"/>
    <x v="0"/>
    <s v="2025-04-06"/>
    <x v="3"/>
    <s v="#AppleEvent #iPhone16"/>
    <s v="AppleEvent  iPhone16"/>
    <n v="15917"/>
    <n v="1479"/>
    <n v="196"/>
    <n v="313"/>
    <n v="48524"/>
    <n v="249684"/>
    <n v="17396.000784992229"/>
    <n v="17905"/>
    <n v="7.1710642251806291"/>
    <s v="iPhone 16 Launch"/>
  </r>
  <r>
    <s v="A258"/>
    <x v="3"/>
    <s v="2024-08-05"/>
    <x v="2"/>
    <s v="#AppleWatchUltra2 #HealthTech"/>
    <s v="AppleWatchUltra2  HealthTech"/>
    <n v="20935"/>
    <n v="1104"/>
    <n v="876"/>
    <n v="1270"/>
    <n v="21454"/>
    <n v="208722"/>
    <n v="22039.004196970134"/>
    <n v="24185"/>
    <n v="11.587182951485708"/>
    <s v="Sustainability Awareness Drive"/>
  </r>
  <r>
    <s v="A259"/>
    <x v="1"/>
    <s v="2025-02-10"/>
    <x v="3"/>
    <s v="#MacBookAirM3 #AppleInnovation"/>
    <s v="MacBookAirM3  AppleInnovation"/>
    <n v="16309"/>
    <n v="1449"/>
    <n v="838"/>
    <n v="2434"/>
    <n v="2940"/>
    <n v="217953"/>
    <n v="17758.003844865638"/>
    <n v="21030"/>
    <n v="9.6488692516276444"/>
    <s v="iPhone 16 Launch"/>
  </r>
  <r>
    <s v="A260"/>
    <x v="0"/>
    <s v="2025-02-12"/>
    <x v="2"/>
    <s v="#MacBookAirM3 #AppleInnovation"/>
    <s v="MacBookAirM3  AppleInnovation"/>
    <n v="15234"/>
    <n v="1276"/>
    <n v="670"/>
    <n v="1860"/>
    <n v="60397"/>
    <n v="86413"/>
    <n v="16510.007753463022"/>
    <n v="19040"/>
    <n v="22.033721777973224"/>
    <s v="MacBook Air M3 Campaign"/>
  </r>
  <r>
    <s v="A261"/>
    <x v="2"/>
    <s v="2024-10-27"/>
    <x v="3"/>
    <s v="#AppleWatchUltra2 #HealthTech"/>
    <s v="AppleWatchUltra2  HealthTech"/>
    <n v="7560"/>
    <n v="1139"/>
    <n v="248"/>
    <n v="1624"/>
    <n v="72237"/>
    <n v="177084"/>
    <n v="8699.0014004653167"/>
    <n v="10571"/>
    <n v="5.9694834090036366"/>
    <s v="Sustainability Awareness Drive"/>
  </r>
  <r>
    <s v="A262"/>
    <x v="3"/>
    <s v="2025-01-18"/>
    <x v="1"/>
    <s v="#iPhonePhotography #ShotOniPhone"/>
    <s v="iPhonePhotography  ShotOniPhone"/>
    <n v="22673"/>
    <n v="1053"/>
    <n v="169"/>
    <n v="1566"/>
    <n v="9417"/>
    <n v="221187"/>
    <n v="23726.000764059372"/>
    <n v="25461"/>
    <n v="11.511074339812016"/>
    <s v="iPhone 16 Launch"/>
  </r>
  <r>
    <s v="A263"/>
    <x v="2"/>
    <s v="2024-08-20"/>
    <x v="1"/>
    <s v="#ShotOniPhone"/>
    <s v="ShotOniPhone"/>
    <n v="2846"/>
    <n v="792"/>
    <n v="902"/>
    <n v="2469"/>
    <n v="12130"/>
    <n v="47151"/>
    <n v="3638.0191300290558"/>
    <n v="7009"/>
    <n v="14.865008165256304"/>
    <s v="Apple Watch Ultra 2 Launch"/>
  </r>
  <r>
    <s v="A264"/>
    <x v="2"/>
    <s v="2025-01-30"/>
    <x v="1"/>
    <s v="#iPhonePhotography #ShotOniPhone"/>
    <s v="iPhonePhotography  ShotOniPhone"/>
    <n v="12954"/>
    <n v="913"/>
    <n v="722"/>
    <n v="1049"/>
    <n v="475"/>
    <n v="97716"/>
    <n v="13867.007388759261"/>
    <n v="15638"/>
    <n v="16.003520406074749"/>
    <s v="Apple Watch Ultra 2 Launch"/>
  </r>
  <r>
    <s v="A265"/>
    <x v="0"/>
    <s v="2025-02-20"/>
    <x v="3"/>
    <s v="#iPhone16Launch #AppleEvent"/>
    <s v="iPhone16Launch  AppleEvent"/>
    <n v="15703"/>
    <n v="1381"/>
    <n v="639"/>
    <n v="984"/>
    <n v="10967"/>
    <n v="133747"/>
    <n v="17084.004777677255"/>
    <n v="18707"/>
    <n v="13.986855779942728"/>
    <s v="MacBook Air M3 Campaign"/>
  </r>
  <r>
    <s v="A266"/>
    <x v="3"/>
    <s v="2024-11-25"/>
    <x v="2"/>
    <s v="#iPhone16Launch #AppleEvent"/>
    <s v="iPhone16Launch  AppleEvent"/>
    <n v="17385"/>
    <n v="831"/>
    <n v="568"/>
    <n v="2227"/>
    <n v="49351"/>
    <n v="207450"/>
    <n v="18216.00273800916"/>
    <n v="21011"/>
    <n v="10.128223668353819"/>
    <s v="Sustainability Awareness Drive"/>
  </r>
  <r>
    <s v="A267"/>
    <x v="1"/>
    <s v="2024-10-04"/>
    <x v="2"/>
    <s v="#AppleEvent #iPhone16"/>
    <s v="AppleEvent  iPhone16"/>
    <n v="15746"/>
    <n v="258"/>
    <n v="839"/>
    <n v="2656"/>
    <n v="66614"/>
    <n v="213724"/>
    <n v="16004.003925623701"/>
    <n v="19499"/>
    <n v="9.1234489341393576"/>
    <s v="Sustainability Awareness Drive"/>
  </r>
  <r>
    <s v="A268"/>
    <x v="1"/>
    <s v="2025-04-13"/>
    <x v="3"/>
    <s v="#MacBookProM3"/>
    <s v="MacBookProM3"/>
    <n v="24700"/>
    <n v="327"/>
    <n v="999"/>
    <n v="994"/>
    <n v="59400"/>
    <n v="243502"/>
    <n v="25027.004102635707"/>
    <n v="27020"/>
    <n v="11.096418099235326"/>
    <s v="Sustainability Awareness Drive"/>
  </r>
  <r>
    <s v="A269"/>
    <x v="0"/>
    <s v="2024-11-05"/>
    <x v="1"/>
    <s v="#MacBookProM3"/>
    <s v="MacBookProM3"/>
    <n v="8469"/>
    <n v="935"/>
    <n v="211"/>
    <n v="2635"/>
    <n v="21890"/>
    <n v="184539"/>
    <n v="9404.0011433897434"/>
    <n v="12250"/>
    <n v="6.6381632066934353"/>
    <s v="MacBook Air M3 Campaign"/>
  </r>
  <r>
    <s v="A270"/>
    <x v="0"/>
    <s v="2025-01-15"/>
    <x v="1"/>
    <s v="#MacBookAirM3 #AppleInnovation"/>
    <s v="MacBookAirM3  AppleInnovation"/>
    <n v="11333"/>
    <n v="920"/>
    <n v="294"/>
    <n v="606"/>
    <n v="59490"/>
    <n v="202082"/>
    <n v="12253.001454854961"/>
    <n v="13153"/>
    <n v="6.5087439752179801"/>
    <s v="Sustainability Awareness Drive"/>
  </r>
  <r>
    <s v="A271"/>
    <x v="3"/>
    <s v="2024-10-17"/>
    <x v="2"/>
    <s v="#AppleDesign #Innovation"/>
    <s v="AppleDesign  Innovation"/>
    <n v="18608"/>
    <n v="1338"/>
    <n v="365"/>
    <n v="2289"/>
    <n v="20785"/>
    <n v="161999"/>
    <n v="19946.002253100327"/>
    <n v="22600"/>
    <n v="13.9507033994037"/>
    <s v="Apple Watch Ultra 2 Launch"/>
  </r>
  <r>
    <s v="A272"/>
    <x v="1"/>
    <s v="2025-03-27"/>
    <x v="1"/>
    <s v="#iPhonePhotography #ShotOniPhone"/>
    <s v="iPhonePhotography  ShotOniPhone"/>
    <n v="14819"/>
    <n v="1432"/>
    <n v="152"/>
    <n v="961"/>
    <n v="39154"/>
    <n v="154793"/>
    <n v="16251.000981956548"/>
    <n v="17364"/>
    <n v="11.217561517639686"/>
    <s v="iPhone 16 Launch"/>
  </r>
  <r>
    <s v="A273"/>
    <x v="1"/>
    <s v="2024-10-12"/>
    <x v="0"/>
    <s v="#Sustainability #AppleEarth"/>
    <s v="Sustainability  AppleEarth"/>
    <n v="6208"/>
    <n v="725"/>
    <n v="309"/>
    <n v="848"/>
    <n v="39319"/>
    <n v="225763"/>
    <n v="6933.0013686919465"/>
    <n v="8090"/>
    <n v="3.5834038349951052"/>
    <s v="Apple Watch Ultra 2 Launch"/>
  </r>
  <r>
    <s v="A274"/>
    <x v="1"/>
    <s v="2025-01-01"/>
    <x v="2"/>
    <s v="#AppleMusic #AppleLifestyle"/>
    <s v="AppleMusic  AppleLifestyle"/>
    <n v="8283"/>
    <n v="720"/>
    <n v="888"/>
    <n v="611"/>
    <n v="52791"/>
    <n v="235229"/>
    <n v="9003.0037750447427"/>
    <n v="10502"/>
    <n v="4.4645855740576206"/>
    <s v="Apple Watch Ultra 2 Launch"/>
  </r>
  <r>
    <s v="A275"/>
    <x v="2"/>
    <s v="2024-08-05"/>
    <x v="1"/>
    <s v="#AppleWatch #Health"/>
    <s v="AppleWatch  Health"/>
    <n v="4048"/>
    <n v="751"/>
    <n v="930"/>
    <n v="1382"/>
    <n v="16844"/>
    <n v="148177"/>
    <n v="4799.0062762776952"/>
    <n v="7111"/>
    <n v="4.7989903966202583"/>
    <s v="iPhone 16 Launch"/>
  </r>
  <r>
    <s v="A276"/>
    <x v="1"/>
    <s v="2024-06-07"/>
    <x v="2"/>
    <s v="#AppleEvent #iPadPro"/>
    <s v="AppleEvent  iPadPro"/>
    <n v="8233"/>
    <n v="436"/>
    <n v="269"/>
    <n v="2037"/>
    <n v="8875"/>
    <n v="52289"/>
    <n v="8669.0051444854562"/>
    <n v="10975"/>
    <n v="20.989118170169636"/>
    <s v="Apple Watch Ultra 2 Launch"/>
  </r>
  <r>
    <s v="A277"/>
    <x v="2"/>
    <s v="2025-04-06"/>
    <x v="0"/>
    <s v="#MacBookProM3"/>
    <s v="MacBookProM3"/>
    <n v="14941"/>
    <n v="1424"/>
    <n v="238"/>
    <n v="1054"/>
    <n v="20516"/>
    <n v="216048"/>
    <n v="16365.001101607051"/>
    <n v="17657"/>
    <n v="8.1727208768421828"/>
    <s v="MacBook Air M3 Campaign"/>
  </r>
  <r>
    <s v="A278"/>
    <x v="3"/>
    <s v="2024-11-26"/>
    <x v="2"/>
    <s v="#AppleMusic #AppleLifestyle"/>
    <s v="AppleMusic  AppleLifestyle"/>
    <n v="14607"/>
    <n v="1458"/>
    <n v="478"/>
    <n v="334"/>
    <n v="49257"/>
    <n v="214668"/>
    <n v="16065.002226694243"/>
    <n v="16877"/>
    <n v="7.8619076900143483"/>
    <s v="iPhone 16 Launch"/>
  </r>
  <r>
    <s v="A279"/>
    <x v="2"/>
    <s v="2024-09-02"/>
    <x v="2"/>
    <s v="#AppleEvent #iPadPro"/>
    <s v="AppleEvent  iPadPro"/>
    <n v="11765"/>
    <n v="693"/>
    <n v="729"/>
    <n v="744"/>
    <n v="97772"/>
    <n v="194243"/>
    <n v="12458.003753030996"/>
    <n v="13931"/>
    <n v="7.1719444201335438"/>
    <s v="Apple Watch Ultra 2 Launch"/>
  </r>
  <r>
    <s v="A280"/>
    <x v="3"/>
    <d v="2025-09-18T00:00:00"/>
    <x v="2"/>
    <s v="#AppleMusic #AppleLifestyle"/>
    <s v="AppleMusic  AppleLifestyle"/>
    <n v="3828"/>
    <n v="203"/>
    <n v="506"/>
    <n v="2440"/>
    <n v="63650"/>
    <n v="126365"/>
    <n v="4031.0040042733353"/>
    <n v="6977"/>
    <n v="5.5213073240216834"/>
    <s v="Apple Event September 2025"/>
  </r>
  <r>
    <s v="A281"/>
    <x v="1"/>
    <s v="2025-03-22"/>
    <x v="2"/>
    <s v="#AppleEvent #iPhone16"/>
    <s v="AppleEvent  iPhone16"/>
    <n v="3917"/>
    <n v="865"/>
    <n v="759"/>
    <n v="2282"/>
    <n v="56125"/>
    <n v="154014"/>
    <n v="4782.0049281234169"/>
    <n v="7823"/>
    <n v="5.0794083654732685"/>
    <s v="Apple Watch Ultra 2 Launch"/>
  </r>
  <r>
    <s v="A282"/>
    <x v="1"/>
    <s v="2024-10-03"/>
    <x v="0"/>
    <s v="#AppleEvent #iPadPro"/>
    <s v="AppleEvent  iPadPro"/>
    <n v="22618"/>
    <n v="641"/>
    <n v="416"/>
    <n v="1530"/>
    <n v="18395"/>
    <n v="215211"/>
    <n v="23259.001932986695"/>
    <n v="25205"/>
    <n v="11.711761945253727"/>
    <s v="MacBook Air M3 Campaign"/>
  </r>
  <r>
    <s v="A283"/>
    <x v="3"/>
    <s v="2025-05-09"/>
    <x v="3"/>
    <s v="#AppleWatch #Health"/>
    <s v="AppleWatch  Health"/>
    <n v="8988"/>
    <n v="228"/>
    <n v="766"/>
    <n v="652"/>
    <n v="63789"/>
    <n v="219785"/>
    <n v="9216.003485224197"/>
    <n v="10634"/>
    <n v="4.8383647655663493"/>
    <s v="Sustainability Awareness Drive"/>
  </r>
  <r>
    <s v="A284"/>
    <x v="0"/>
    <s v="2024-09-17"/>
    <x v="2"/>
    <s v="#AppleMusic #AppleLifestyle"/>
    <s v="AppleMusic  AppleLifestyle"/>
    <n v="20410"/>
    <n v="1332"/>
    <n v="472"/>
    <n v="1202"/>
    <n v="9418"/>
    <n v="200806"/>
    <n v="21742.002350527375"/>
    <n v="23416"/>
    <n v="11.661006145234703"/>
    <s v="Apple Watch Ultra 2 Launch"/>
  </r>
  <r>
    <s v="A285"/>
    <x v="3"/>
    <s v="2024-07-18"/>
    <x v="2"/>
    <s v="#AppleWatchUltra2 #HealthTech"/>
    <s v="AppleWatchUltra2  HealthTech"/>
    <n v="16594"/>
    <n v="809"/>
    <n v="784"/>
    <n v="1655"/>
    <n v="35505"/>
    <n v="112588"/>
    <n v="17403.006963441931"/>
    <n v="19842"/>
    <n v="17.623547802607739"/>
    <s v="Sustainability Awareness Drive"/>
  </r>
  <r>
    <s v="A286"/>
    <x v="0"/>
    <d v="2025-09-19T00:00:00"/>
    <x v="1"/>
    <s v="#AppleWatch #Health"/>
    <s v="AppleWatch  Health"/>
    <n v="22128"/>
    <n v="1004"/>
    <n v="690"/>
    <n v="2048"/>
    <n v="19443"/>
    <n v="103646"/>
    <n v="23132.006657275728"/>
    <n v="25870"/>
    <n v="24.959959863381123"/>
    <s v="Apple Event September 2025"/>
  </r>
  <r>
    <s v="A287"/>
    <x v="2"/>
    <s v="2024-08-15"/>
    <x v="2"/>
    <s v="#AppleEvent #iPadPro"/>
    <s v="AppleEvent  iPadPro"/>
    <n v="14977"/>
    <n v="274"/>
    <n v="798"/>
    <n v="458"/>
    <n v="6636"/>
    <n v="43654"/>
    <n v="15251.018280111788"/>
    <n v="16507"/>
    <n v="37.813258807898478"/>
    <s v="Apple Watch Ultra 2 Launch"/>
  </r>
  <r>
    <s v="A288"/>
    <x v="2"/>
    <s v="2025-04-17"/>
    <x v="1"/>
    <s v="#AppleWatch #Health"/>
    <s v="AppleWatch  Health"/>
    <n v="2009"/>
    <n v="1037"/>
    <n v="344"/>
    <n v="2277"/>
    <n v="85743"/>
    <n v="58743"/>
    <n v="3046.0058560168873"/>
    <n v="5667"/>
    <n v="9.6471068893314946"/>
    <s v="iPhone 16 Launch"/>
  </r>
  <r>
    <s v="A289"/>
    <x v="2"/>
    <s v="2024-11-28"/>
    <x v="3"/>
    <s v="#AppleMusic #AppleLifestyle"/>
    <s v="AppleMusic  AppleLifestyle"/>
    <n v="18644"/>
    <n v="1369"/>
    <n v="887"/>
    <n v="1256"/>
    <n v="43415"/>
    <n v="88368"/>
    <n v="20013.010037570162"/>
    <n v="22156"/>
    <n v="25.072424407025167"/>
    <s v="Sustainability Awareness Drive"/>
  </r>
  <r>
    <s v="A290"/>
    <x v="1"/>
    <d v="2025-09-20T00:00:00"/>
    <x v="0"/>
    <s v="#ShotOniPhone"/>
    <s v="ShotOniPhone"/>
    <n v="24422"/>
    <n v="327"/>
    <n v="481"/>
    <n v="2371"/>
    <n v="35340"/>
    <n v="245244"/>
    <n v="24749.001961311998"/>
    <n v="27601"/>
    <n v="11.254505716755556"/>
    <s v="Apple Event September 2025"/>
  </r>
  <r>
    <s v="A291"/>
    <x v="2"/>
    <s v="2024-11-06"/>
    <x v="0"/>
    <s v="#AppleMusic #AppleLifestyle"/>
    <s v="AppleMusic  AppleLifestyle"/>
    <n v="11865"/>
    <n v="241"/>
    <n v="319"/>
    <n v="703"/>
    <n v="69596"/>
    <n v="177513"/>
    <n v="12106.001797051484"/>
    <n v="13128"/>
    <n v="7.3955146946984174"/>
    <s v="iPhone 16 Launch"/>
  </r>
  <r>
    <s v="A292"/>
    <x v="0"/>
    <s v="2024-11-17"/>
    <x v="3"/>
    <s v="#AppleMusic #AppleLifestyle"/>
    <s v="AppleMusic  AppleLifestyle"/>
    <n v="4219"/>
    <n v="240"/>
    <n v="670"/>
    <n v="815"/>
    <n v="11978"/>
    <n v="159735"/>
    <n v="4459.0041944470531"/>
    <n v="5944"/>
    <n v="3.7211631765110962"/>
    <s v="iPhone 16 Launch"/>
  </r>
  <r>
    <s v="A293"/>
    <x v="2"/>
    <s v="2025-05-14"/>
    <x v="0"/>
    <s v="#AppleEvent #iPhone16"/>
    <s v="AppleEvent  iPhone16"/>
    <n v="9041"/>
    <n v="1133"/>
    <n v="612"/>
    <n v="1687"/>
    <n v="28102"/>
    <n v="195683"/>
    <n v="10174.003127507243"/>
    <n v="12473"/>
    <n v="6.3740846164459866"/>
    <s v="iPhone 16 Launch"/>
  </r>
  <r>
    <s v="A294"/>
    <x v="3"/>
    <s v="2024-06-19"/>
    <x v="3"/>
    <s v="#iPhonePhotography #ShotOniPhone"/>
    <s v="iPhonePhotography  ShotOniPhone"/>
    <n v="20444"/>
    <n v="233"/>
    <n v="189"/>
    <n v="2879"/>
    <n v="28185"/>
    <n v="159891"/>
    <n v="20677.001182055275"/>
    <n v="23745"/>
    <n v="14.850742068033847"/>
    <s v="iPhone 16 Launch"/>
  </r>
  <r>
    <s v="A295"/>
    <x v="3"/>
    <s v="2025-05-06"/>
    <x v="3"/>
    <s v="#AppleWatchUltra2 #HealthTech"/>
    <s v="AppleWatchUltra2  HealthTech"/>
    <n v="7287"/>
    <n v="1240"/>
    <n v="686"/>
    <n v="1255"/>
    <n v="15403"/>
    <n v="147971"/>
    <n v="8527.0046360435499"/>
    <n v="10468"/>
    <n v="7.074359164971515"/>
    <s v="Apple Watch Ultra 2 Launch"/>
  </r>
  <r>
    <s v="A296"/>
    <x v="1"/>
    <s v="2025-02-11"/>
    <x v="3"/>
    <s v="#Sustainability #AppleEarth"/>
    <s v="Sustainability  AppleEarth"/>
    <n v="3619"/>
    <n v="1376"/>
    <n v="410"/>
    <n v="2499"/>
    <n v="58146"/>
    <n v="52149"/>
    <n v="4995.0078620874801"/>
    <n v="7904"/>
    <n v="15.156570595792823"/>
    <s v="Apple Watch Ultra 2 Launch"/>
  </r>
  <r>
    <s v="A297"/>
    <x v="3"/>
    <s v="2024-12-24"/>
    <x v="0"/>
    <s v="#MacBookProM3"/>
    <s v="MacBookProM3"/>
    <n v="10512"/>
    <n v="1197"/>
    <n v="544"/>
    <n v="2012"/>
    <n v="10245"/>
    <n v="140102"/>
    <n v="11709.003882885327"/>
    <n v="14265"/>
    <n v="10.181867496538237"/>
    <s v="Apple Watch Ultra 2 Launch"/>
  </r>
  <r>
    <s v="A298"/>
    <x v="0"/>
    <d v="2025-09-24T00:00:00"/>
    <x v="1"/>
    <s v="#iPhone16Launch #AppleEvent"/>
    <s v="iPhone16Launch  AppleEvent"/>
    <n v="3342"/>
    <n v="787"/>
    <n v="375"/>
    <n v="907"/>
    <n v="85823"/>
    <n v="99189"/>
    <n v="4129.0037806611617"/>
    <n v="5411"/>
    <n v="5.4552420127231844"/>
    <s v="Apple Event September 2025"/>
  </r>
  <r>
    <s v="A299"/>
    <x v="2"/>
    <d v="2025-09-25T00:00:00"/>
    <x v="3"/>
    <s v="#iPhonePhotography #ShotOniPhone"/>
    <s v="iPhonePhotography  ShotOniPhone"/>
    <n v="12568"/>
    <n v="541"/>
    <n v="273"/>
    <n v="2767"/>
    <n v="22331"/>
    <n v="192747"/>
    <n v="13109.001416364457"/>
    <n v="16149"/>
    <n v="8.3783405189185824"/>
    <s v="Apple Event September 2025"/>
  </r>
  <r>
    <s v="A300"/>
    <x v="1"/>
    <d v="2025-09-26T00:00:00"/>
    <x v="2"/>
    <s v="#iPhone16Launch #AppleEvent"/>
    <s v="iPhone16Launch  AppleEvent"/>
    <n v="21216"/>
    <n v="226"/>
    <n v="187"/>
    <n v="1573"/>
    <n v="62688"/>
    <n v="111031"/>
    <n v="21442.00168421432"/>
    <n v="23202"/>
    <n v="20.896866640848053"/>
    <s v="Apple Event September 2025"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  <r>
    <m/>
    <x v="4"/>
    <m/>
    <x v="4"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Jun"/>
    <s v="2024-06-03"/>
    <x v="0"/>
    <n v="4138"/>
    <n v="361"/>
    <n v="103777"/>
    <n v="56.637790647253247"/>
    <n v="23944"/>
    <n v="5877700"/>
    <n v="5.7863702271628803"/>
  </r>
  <r>
    <s v="Jun"/>
    <s v="2024-06-03"/>
    <x v="1"/>
    <n v="8693"/>
    <n v="1261"/>
    <n v="111209"/>
    <n v="69.475492091467416"/>
    <n v="29873"/>
    <n v="7726300"/>
    <n v="3.4364431151501207"/>
  </r>
  <r>
    <s v="Jun"/>
    <s v="2024-06-03"/>
    <x v="2"/>
    <n v="9264"/>
    <n v="1141"/>
    <n v="119332"/>
    <n v="92.312204605638044"/>
    <n v="50372"/>
    <n v="11015800"/>
    <n v="5.4373920552677033"/>
  </r>
  <r>
    <s v="Jun"/>
    <s v="2024-06-03"/>
    <x v="2"/>
    <n v="8842"/>
    <n v="971"/>
    <n v="127203"/>
    <n v="16.351815601833291"/>
    <n v="33928"/>
    <n v="2080000"/>
    <n v="3.8371409183442662"/>
  </r>
  <r>
    <s v="Jun"/>
    <s v="2024-06-10"/>
    <x v="0"/>
    <n v="7721"/>
    <n v="506"/>
    <n v="134418"/>
    <n v="35.577824398518047"/>
    <n v="25379"/>
    <n v="4782299.9999999991"/>
    <n v="3.2870094547338429"/>
  </r>
  <r>
    <s v="Jun"/>
    <s v="2024-06-10"/>
    <x v="2"/>
    <n v="8002"/>
    <n v="524"/>
    <n v="141896"/>
    <n v="52.064892597395271"/>
    <n v="46751"/>
    <n v="7387799.9999999991"/>
    <n v="5.8424143964008994"/>
  </r>
  <r>
    <s v="Jun"/>
    <s v="2024-06-10"/>
    <x v="1"/>
    <n v="5225"/>
    <n v="291"/>
    <n v="146830"/>
    <n v="19.551862698358651"/>
    <n v="44546"/>
    <n v="2870800.0000000005"/>
    <n v="8.52555023923445"/>
  </r>
  <r>
    <s v="Jun"/>
    <s v="2024-06-10"/>
    <x v="1"/>
    <n v="3978"/>
    <n v="543"/>
    <n v="150265"/>
    <n v="49.159817655475329"/>
    <n v="34286"/>
    <n v="7387000"/>
    <n v="8.6189039718451479"/>
  </r>
  <r>
    <s v="Jun"/>
    <s v="2024-06-17"/>
    <x v="0"/>
    <n v="8373"/>
    <n v="921"/>
    <n v="157717"/>
    <n v="12.2263294381709"/>
    <n v="15110"/>
    <n v="1928299.9999999998"/>
    <n v="1.8046100561328078"/>
  </r>
  <r>
    <s v="Jun"/>
    <s v="2024-06-17"/>
    <x v="1"/>
    <n v="6907"/>
    <n v="834"/>
    <n v="163790"/>
    <n v="54.158984064961238"/>
    <n v="22087"/>
    <n v="8870700.0000000019"/>
    <n v="3.1977703778775157"/>
  </r>
  <r>
    <s v="Jun"/>
    <s v="2024-06-17"/>
    <x v="3"/>
    <n v="7097"/>
    <n v="369"/>
    <n v="170518"/>
    <n v="9.2506362964613711"/>
    <n v="33762"/>
    <n v="1577400"/>
    <n v="4.7572213611385088"/>
  </r>
  <r>
    <s v="Jun"/>
    <s v="2024-06-17"/>
    <x v="0"/>
    <n v="6656"/>
    <n v="978"/>
    <n v="176196"/>
    <n v="60.425889350496043"/>
    <n v="27081"/>
    <n v="10646800"/>
    <n v="4.0686598557692308"/>
  </r>
  <r>
    <s v="Jun"/>
    <s v="2024-06-24"/>
    <x v="1"/>
    <n v="9984"/>
    <n v="1330"/>
    <n v="184850"/>
    <n v="57.524479307546663"/>
    <n v="44947"/>
    <n v="10633400"/>
    <n v="4.5019030448717947"/>
  </r>
  <r>
    <s v="Jun"/>
    <s v="2024-06-24"/>
    <x v="0"/>
    <n v="5259"/>
    <n v="374"/>
    <n v="189735"/>
    <n v="14.827522597306769"/>
    <n v="19596"/>
    <n v="2813300"/>
    <n v="3.7261836851112378"/>
  </r>
  <r>
    <s v="Jun"/>
    <s v="2024-06-24"/>
    <x v="2"/>
    <n v="9286"/>
    <n v="633"/>
    <n v="198388"/>
    <n v="5.4343004617214756"/>
    <n v="48019"/>
    <n v="1078100"/>
    <n v="5.1711178117596379"/>
  </r>
  <r>
    <s v="Jun"/>
    <s v="2024-06-24"/>
    <x v="1"/>
    <n v="6901"/>
    <n v="471"/>
    <n v="204818"/>
    <n v="60.827661631301943"/>
    <n v="52003"/>
    <n v="12458600.000000002"/>
    <n v="7.5355745544124044"/>
  </r>
  <r>
    <s v="Jul"/>
    <s v="2024-07-01"/>
    <x v="3"/>
    <n v="5917"/>
    <n v="475"/>
    <n v="210260"/>
    <n v="17.894035955483691"/>
    <n v="28313"/>
    <n v="3762400.0000000009"/>
    <n v="4.7850261957072844"/>
  </r>
  <r>
    <s v="Jul"/>
    <s v="2024-07-01"/>
    <x v="1"/>
    <n v="9429"/>
    <n v="966"/>
    <n v="218723"/>
    <n v="7.6914636320825887"/>
    <n v="57639"/>
    <n v="1682300"/>
    <n v="6.1129494113903915"/>
  </r>
  <r>
    <s v="Jul"/>
    <s v="2024-07-01"/>
    <x v="0"/>
    <n v="3530"/>
    <n v="328"/>
    <n v="221925"/>
    <n v="12.8372197814577"/>
    <n v="11013"/>
    <n v="2848900"/>
    <n v="3.1198300283286118"/>
  </r>
  <r>
    <s v="Jul"/>
    <s v="2024-07-01"/>
    <x v="0"/>
    <n v="2960"/>
    <n v="234"/>
    <n v="224651"/>
    <n v="17.41278694508371"/>
    <n v="59378"/>
    <n v="3911800.0000000005"/>
    <n v="20.060135135135134"/>
  </r>
  <r>
    <s v="Jul"/>
    <s v="2024-07-08"/>
    <x v="1"/>
    <n v="8045"/>
    <n v="894"/>
    <n v="231802"/>
    <n v="47.634187798207087"/>
    <n v="33705"/>
    <n v="11041700"/>
    <n v="4.1895587321317587"/>
  </r>
  <r>
    <s v="Jul"/>
    <s v="2024-07-08"/>
    <x v="3"/>
    <n v="2048"/>
    <n v="130"/>
    <n v="233720"/>
    <n v="39.284614068115687"/>
    <n v="11828"/>
    <n v="9181599.9999999981"/>
    <n v="5.775390625"/>
  </r>
  <r>
    <s v="Jul"/>
    <s v="2024-07-08"/>
    <x v="3"/>
    <n v="6772"/>
    <n v="536"/>
    <n v="239956"/>
    <n v="9.8205504342462788"/>
    <n v="17909"/>
    <n v="2356500"/>
    <n v="2.6445658594211459"/>
  </r>
  <r>
    <s v="Jul"/>
    <s v="2024-07-08"/>
    <x v="3"/>
    <n v="3529"/>
    <n v="305"/>
    <n v="243180"/>
    <n v="41.606628834608109"/>
    <n v="48356"/>
    <n v="10117900"/>
    <n v="13.702465287616889"/>
  </r>
  <r>
    <s v="Jul"/>
    <s v="2024-07-15"/>
    <x v="0"/>
    <n v="3964"/>
    <n v="378"/>
    <n v="246766"/>
    <n v="13.6355899921383"/>
    <n v="23109"/>
    <n v="3364799.9999999995"/>
    <n v="5.8297174571140262"/>
  </r>
  <r>
    <s v="Jul"/>
    <s v="2024-07-15"/>
    <x v="1"/>
    <n v="8137"/>
    <n v="1045"/>
    <n v="253858"/>
    <n v="20.47246886054408"/>
    <n v="12023"/>
    <n v="5197099.9999999991"/>
    <n v="1.4775715865798205"/>
  </r>
  <r>
    <s v="Jul"/>
    <s v="2024-07-15"/>
    <x v="2"/>
    <n v="1963"/>
    <n v="137"/>
    <n v="255684"/>
    <n v="11.2083665774941"/>
    <n v="24537"/>
    <n v="2865800.0000000014"/>
    <n v="12.499745287824759"/>
  </r>
  <r>
    <s v="Jul"/>
    <s v="2024-07-15"/>
    <x v="0"/>
    <n v="1536"/>
    <n v="155"/>
    <n v="257065"/>
    <n v="12.15762550327738"/>
    <n v="36661"/>
    <n v="3125299.9999999995"/>
    <n v="23.867838541666668"/>
  </r>
  <r>
    <s v="Jul"/>
    <s v="2024-07-22"/>
    <x v="3"/>
    <n v="8340"/>
    <n v="911"/>
    <n v="264494"/>
    <n v="37.302925586213682"/>
    <n v="48659"/>
    <n v="9866400.0000000019"/>
    <n v="5.834412470023981"/>
  </r>
  <r>
    <s v="Jul"/>
    <s v="2024-07-22"/>
    <x v="1"/>
    <n v="8179"/>
    <n v="446"/>
    <n v="272227"/>
    <n v="41.82171496581897"/>
    <n v="43848"/>
    <n v="11385000"/>
    <n v="5.3610465827118228"/>
  </r>
  <r>
    <s v="Jul"/>
    <s v="2024-07-22"/>
    <x v="3"/>
    <n v="8967"/>
    <n v="993"/>
    <n v="280201"/>
    <n v="52.792102811910027"/>
    <n v="47804"/>
    <n v="14792400.000000002"/>
    <n v="5.331102932976469"/>
  </r>
  <r>
    <s v="Jul"/>
    <s v="2024-07-22"/>
    <x v="2"/>
    <n v="9734"/>
    <n v="652"/>
    <n v="289283"/>
    <n v="49.647922622483861"/>
    <n v="25379"/>
    <n v="14362299.999999998"/>
    <n v="2.6072529278816519"/>
  </r>
  <r>
    <s v="Jul"/>
    <s v="2024-07-29"/>
    <x v="3"/>
    <n v="1845"/>
    <n v="104"/>
    <n v="291024"/>
    <n v="28.158158777282971"/>
    <n v="37766"/>
    <n v="8194699.9999999991"/>
    <n v="20.469376693766936"/>
  </r>
  <r>
    <s v="Jul"/>
    <s v="2024-07-29"/>
    <x v="3"/>
    <n v="6777"/>
    <n v="981"/>
    <n v="296820"/>
    <n v="23.920557913887201"/>
    <n v="53590"/>
    <n v="7100099.9999999991"/>
    <n v="7.9076287442821309"/>
  </r>
  <r>
    <s v="Jul"/>
    <s v="2024-07-29"/>
    <x v="2"/>
    <n v="4036"/>
    <n v="591"/>
    <n v="300265"/>
    <n v="44.219272975538267"/>
    <n v="12563"/>
    <n v="13277499.999999998"/>
    <n v="3.1127353815659067"/>
  </r>
  <r>
    <s v="Jul"/>
    <s v="2024-07-29"/>
    <x v="1"/>
    <n v="6947"/>
    <n v="908"/>
    <n v="306304"/>
    <n v="14.117673944839121"/>
    <n v="46060"/>
    <n v="4324300.0000000019"/>
    <n v="6.6302000863682169"/>
  </r>
  <r>
    <s v="Aug"/>
    <s v="2024-08-05"/>
    <x v="0"/>
    <n v="3494"/>
    <n v="281"/>
    <n v="309517"/>
    <n v="27.765518533715429"/>
    <n v="39197"/>
    <n v="8593899.9999999981"/>
    <n v="11.218374356038924"/>
  </r>
  <r>
    <s v="Aug"/>
    <s v="2024-08-05"/>
    <x v="1"/>
    <n v="3719"/>
    <n v="222"/>
    <n v="313014"/>
    <n v="21.669318305251519"/>
    <n v="13586"/>
    <n v="6782799.9999999991"/>
    <n v="3.6531325625168054"/>
  </r>
  <r>
    <s v="Aug"/>
    <s v="2024-08-05"/>
    <x v="2"/>
    <n v="2884"/>
    <n v="341"/>
    <n v="315557"/>
    <n v="46.999749649033298"/>
    <n v="26087"/>
    <n v="14831100"/>
    <n v="9.0454230235783637"/>
  </r>
  <r>
    <s v="Aug"/>
    <s v="2024-08-05"/>
    <x v="3"/>
    <n v="5349"/>
    <n v="502"/>
    <n v="320404"/>
    <n v="5.2152906954969351"/>
    <n v="58868"/>
    <n v="1671000"/>
    <n v="11.005421574126006"/>
  </r>
  <r>
    <s v="Aug"/>
    <s v="2024-08-12"/>
    <x v="1"/>
    <n v="6179"/>
    <n v="384"/>
    <n v="326199"/>
    <n v="14.71218489327067"/>
    <n v="33225"/>
    <n v="4799099.9999999991"/>
    <n v="5.3770836704968445"/>
  </r>
  <r>
    <s v="Aug"/>
    <s v="2024-08-12"/>
    <x v="0"/>
    <n v="7610"/>
    <n v="757"/>
    <n v="333052"/>
    <n v="44.450416151231643"/>
    <n v="39750"/>
    <n v="14804300.000000002"/>
    <n v="5.2233902759526938"/>
  </r>
  <r>
    <s v="Aug"/>
    <s v="2024-08-12"/>
    <x v="2"/>
    <n v="7430"/>
    <n v="397"/>
    <n v="340085"/>
    <n v="28.065042562888689"/>
    <n v="16643"/>
    <n v="9544500"/>
    <n v="2.2399730820995964"/>
  </r>
  <r>
    <s v="Aug"/>
    <s v="2024-08-12"/>
    <x v="1"/>
    <n v="8154"/>
    <n v="1149"/>
    <n v="347090"/>
    <n v="26.003918292085629"/>
    <n v="37523"/>
    <n v="9025700.0000000019"/>
    <n v="4.6017905322541086"/>
  </r>
  <r>
    <s v="Aug"/>
    <s v="2024-08-19"/>
    <x v="0"/>
    <n v="7488"/>
    <n v="568"/>
    <n v="354010"/>
    <n v="13.47730290104799"/>
    <n v="46727"/>
    <n v="4771099.9999999991"/>
    <n v="6.2402510683760681"/>
  </r>
  <r>
    <s v="Aug"/>
    <s v="2024-08-19"/>
    <x v="2"/>
    <n v="5737"/>
    <n v="666"/>
    <n v="359081"/>
    <n v="4.6034181702735593"/>
    <n v="21005"/>
    <n v="1653000"/>
    <n v="3.6613212480390449"/>
  </r>
  <r>
    <s v="Aug"/>
    <s v="2024-08-19"/>
    <x v="0"/>
    <n v="7525"/>
    <n v="610"/>
    <n v="365996"/>
    <n v="5.7694619613329108"/>
    <n v="53543"/>
    <n v="2111600"/>
    <n v="7.1153488372093019"/>
  </r>
  <r>
    <s v="Aug"/>
    <s v="2024-08-19"/>
    <x v="2"/>
    <n v="4850"/>
    <n v="494"/>
    <n v="370352"/>
    <n v="20.46539508359615"/>
    <n v="10161"/>
    <n v="7579400.0000000009"/>
    <n v="2.0950515463917525"/>
  </r>
  <r>
    <s v="Aug"/>
    <s v="2024-08-26"/>
    <x v="3"/>
    <n v="1689"/>
    <n v="176"/>
    <n v="371865"/>
    <n v="38.012181840183942"/>
    <n v="26029"/>
    <n v="14135400.000000002"/>
    <n v="15.410894020130254"/>
  </r>
  <r>
    <s v="Aug"/>
    <s v="2024-08-26"/>
    <x v="1"/>
    <n v="6175"/>
    <n v="422"/>
    <n v="377618"/>
    <n v="37.86101298137271"/>
    <n v="59745"/>
    <n v="14297000"/>
    <n v="9.6753036437246962"/>
  </r>
  <r>
    <s v="Aug"/>
    <s v="2024-08-26"/>
    <x v="0"/>
    <n v="9648"/>
    <n v="1417"/>
    <n v="385849"/>
    <n v="3.6633501706626168"/>
    <n v="24226"/>
    <n v="1413500"/>
    <n v="2.5109867330016584"/>
  </r>
  <r>
    <s v="Aug"/>
    <s v="2024-08-26"/>
    <x v="2"/>
    <n v="6078"/>
    <n v="775"/>
    <n v="391152"/>
    <n v="37.760512537325639"/>
    <n v="38731"/>
    <n v="14770099.999999998"/>
    <n v="6.3723264231655152"/>
  </r>
  <r>
    <s v="Sep"/>
    <s v="2024-09-02"/>
    <x v="0"/>
    <n v="6448"/>
    <n v="928"/>
    <n v="396672"/>
    <n v="30.118586640851881"/>
    <n v="53922"/>
    <n v="11947199.999999996"/>
    <n v="8.3625930521091814"/>
  </r>
  <r>
    <s v="Sep"/>
    <s v="2024-09-02"/>
    <x v="0"/>
    <n v="2179"/>
    <n v="303"/>
    <n v="398548"/>
    <n v="33.909842729106657"/>
    <n v="54848"/>
    <n v="13514700"/>
    <n v="25.171179440110141"/>
  </r>
  <r>
    <s v="Sep"/>
    <s v="2024-09-02"/>
    <x v="1"/>
    <n v="7406"/>
    <n v="813"/>
    <n v="405141"/>
    <n v="24.457411123534769"/>
    <n v="13390"/>
    <n v="9908700"/>
    <n v="1.8079935187685661"/>
  </r>
  <r>
    <s v="Sep"/>
    <s v="2024-09-02"/>
    <x v="3"/>
    <n v="9591"/>
    <n v="1363"/>
    <n v="413369"/>
    <n v="10.494255737609739"/>
    <n v="15997"/>
    <n v="4338000"/>
    <n v="1.6679178396413303"/>
  </r>
  <r>
    <s v="Sep"/>
    <s v="2024-09-09"/>
    <x v="0"/>
    <n v="7907"/>
    <n v="465"/>
    <n v="420811"/>
    <n v="33.257448118038738"/>
    <n v="22693"/>
    <n v="13995100"/>
    <n v="2.8699886176805363"/>
  </r>
  <r>
    <s v="Sep"/>
    <s v="2024-09-09"/>
    <x v="2"/>
    <n v="9800"/>
    <n v="682"/>
    <n v="429929"/>
    <n v="6.2966210699906267"/>
    <n v="59815"/>
    <n v="2707100"/>
    <n v="6.1035714285714286"/>
  </r>
  <r>
    <s v="Sep"/>
    <s v="2024-09-09"/>
    <x v="2"/>
    <n v="2638"/>
    <n v="143"/>
    <n v="432424"/>
    <n v="6.9547481175882924"/>
    <n v="52092"/>
    <n v="3007399.9999999995"/>
    <n v="19.746777862016678"/>
  </r>
  <r>
    <s v="Sep"/>
    <s v="2024-09-09"/>
    <x v="3"/>
    <n v="6671"/>
    <n v="550"/>
    <n v="438545"/>
    <n v="17.750287883797562"/>
    <n v="10541"/>
    <n v="7784300.0000000019"/>
    <n v="1.5801229201019338"/>
  </r>
  <r>
    <s v="Sep"/>
    <s v="2024-09-16"/>
    <x v="2"/>
    <n v="7928"/>
    <n v="704"/>
    <n v="445769"/>
    <n v="11.194362999670229"/>
    <n v="31817"/>
    <n v="4990099.9999999981"/>
    <n v="4.0132441977800202"/>
  </r>
  <r>
    <s v="Sep"/>
    <s v="2024-09-16"/>
    <x v="3"/>
    <n v="2382"/>
    <n v="183"/>
    <n v="447968"/>
    <n v="4.7335970426459033"/>
    <n v="47861"/>
    <n v="2120500"/>
    <n v="20.092779177162047"/>
  </r>
  <r>
    <s v="Sep"/>
    <s v="2024-09-16"/>
    <x v="2"/>
    <n v="2403"/>
    <n v="319"/>
    <n v="450052"/>
    <n v="29.92120910472568"/>
    <n v="23428"/>
    <n v="13466100.000000002"/>
    <n v="9.7494798168955477"/>
  </r>
  <r>
    <s v="Sep"/>
    <s v="2024-09-16"/>
    <x v="1"/>
    <n v="4292"/>
    <n v="367"/>
    <n v="453977"/>
    <n v="3.5037017293827661"/>
    <n v="53934"/>
    <n v="1590600"/>
    <n v="12.566169617893756"/>
  </r>
  <r>
    <s v="Sep"/>
    <s v="2024-09-23"/>
    <x v="0"/>
    <n v="1419"/>
    <n v="110"/>
    <n v="455286"/>
    <n v="31.554451487636339"/>
    <n v="58831"/>
    <n v="14366299.999999998"/>
    <n v="41.459478505990134"/>
  </r>
  <r>
    <s v="Sep"/>
    <s v="2024-09-23"/>
    <x v="1"/>
    <n v="5517"/>
    <n v="575"/>
    <n v="460228"/>
    <n v="29.45844233727631"/>
    <n v="20258"/>
    <n v="13557600.000000002"/>
    <n v="3.6719231466376656"/>
  </r>
  <r>
    <s v="Sep"/>
    <s v="2024-09-23"/>
    <x v="0"/>
    <n v="4302"/>
    <n v="275"/>
    <n v="464255"/>
    <n v="15.72131694865968"/>
    <n v="26044"/>
    <n v="7298700"/>
    <n v="6.0539284053928402"/>
  </r>
  <r>
    <s v="Sep"/>
    <s v="2024-09-23"/>
    <x v="0"/>
    <n v="8857"/>
    <n v="1153"/>
    <n v="471959"/>
    <n v="19.214592793018038"/>
    <n v="39411"/>
    <n v="9068500"/>
    <n v="4.4497008016258324"/>
  </r>
  <r>
    <s v="Sep"/>
    <s v="2024-09-30"/>
    <x v="0"/>
    <n v="8870"/>
    <n v="509"/>
    <n v="480320"/>
    <n v="25.077864756828781"/>
    <n v="15469"/>
    <n v="12045400"/>
    <n v="1.743968432919955"/>
  </r>
  <r>
    <s v="Sep"/>
    <s v="2024-09-30"/>
    <x v="1"/>
    <n v="6693"/>
    <n v="995"/>
    <n v="486018"/>
    <n v="23.761877132122681"/>
    <n v="38854"/>
    <n v="11548700.000000002"/>
    <n v="5.805169580158374"/>
  </r>
  <r>
    <s v="Sep"/>
    <s v="2024-09-30"/>
    <x v="0"/>
    <n v="1767"/>
    <n v="224"/>
    <n v="487561"/>
    <n v="13.208603641390511"/>
    <n v="16256"/>
    <n v="6439999.9999999991"/>
    <n v="9.1997736276174304"/>
  </r>
  <r>
    <s v="Sep"/>
    <s v="2024-09-30"/>
    <x v="1"/>
    <n v="3044"/>
    <n v="212"/>
    <n v="490393"/>
    <n v="8.5343795690395261"/>
    <n v="20720"/>
    <n v="4185200.0000000005"/>
    <n v="6.8068331143232585"/>
  </r>
  <r>
    <s v="Oct"/>
    <s v="2024-10-07"/>
    <x v="3"/>
    <n v="2549"/>
    <n v="128"/>
    <n v="492814"/>
    <n v="12.734216154573531"/>
    <n v="43937"/>
    <n v="6275600"/>
    <n v="17.23695566888976"/>
  </r>
  <r>
    <s v="Oct"/>
    <s v="2024-10-07"/>
    <x v="2"/>
    <n v="7140"/>
    <n v="939"/>
    <n v="499015"/>
    <n v="25.120888149654821"/>
    <n v="43598"/>
    <n v="12535700"/>
    <n v="6.106162464985994"/>
  </r>
  <r>
    <s v="Oct"/>
    <s v="2024-10-07"/>
    <x v="2"/>
    <n v="4716"/>
    <n v="569"/>
    <n v="503162"/>
    <n v="25.64820077827817"/>
    <n v="11651"/>
    <n v="12905200"/>
    <n v="2.4705258693808312"/>
  </r>
  <r>
    <s v="Oct"/>
    <s v="2024-10-07"/>
    <x v="0"/>
    <n v="5481"/>
    <n v="673"/>
    <n v="507970"/>
    <n v="13.08758391243577"/>
    <n v="29194"/>
    <n v="6648099.9999999981"/>
    <n v="5.3264002919175333"/>
  </r>
  <r>
    <s v="Oct"/>
    <s v="2024-10-14"/>
    <x v="1"/>
    <n v="8898"/>
    <n v="1131"/>
    <n v="515737"/>
    <n v="2.1877429775253669"/>
    <n v="35051"/>
    <n v="1128300.0000000002"/>
    <n v="3.939199820184311"/>
  </r>
  <r>
    <s v="Oct"/>
    <s v="2024-10-14"/>
    <x v="2"/>
    <n v="7548"/>
    <n v="433"/>
    <n v="522852"/>
    <n v="8.3562843787534522"/>
    <n v="37386"/>
    <n v="4369100"/>
    <n v="4.9531001589825117"/>
  </r>
  <r>
    <s v="Oct"/>
    <s v="2024-10-14"/>
    <x v="1"/>
    <n v="3293"/>
    <n v="282"/>
    <n v="525863"/>
    <n v="27.040693108281051"/>
    <n v="19518"/>
    <n v="14219699.999999998"/>
    <n v="5.9271181293653203"/>
  </r>
  <r>
    <s v="Oct"/>
    <s v="2024-10-14"/>
    <x v="1"/>
    <n v="5837"/>
    <n v="359"/>
    <n v="531341"/>
    <n v="6.8073045370110723"/>
    <n v="56026"/>
    <n v="3617000"/>
    <n v="9.5984238478670552"/>
  </r>
  <r>
    <s v="Oct"/>
    <s v="2024-10-21"/>
    <x v="0"/>
    <n v="8758"/>
    <n v="1193"/>
    <n v="538906"/>
    <n v="3.4213758985797149"/>
    <n v="26184"/>
    <n v="1843799.9999999998"/>
    <n v="2.9897236812057546"/>
  </r>
  <r>
    <s v="Oct"/>
    <s v="2024-10-21"/>
    <x v="2"/>
    <n v="7793"/>
    <n v="875"/>
    <n v="545824"/>
    <n v="5.5136820660139527"/>
    <n v="43787"/>
    <n v="3009499.9999999995"/>
    <n v="5.6187604260233543"/>
  </r>
  <r>
    <s v="Oct"/>
    <s v="2024-10-21"/>
    <x v="0"/>
    <n v="8638"/>
    <n v="717"/>
    <n v="553745"/>
    <n v="26.921416897669499"/>
    <n v="31621"/>
    <n v="14907599.999999996"/>
    <n v="3.6606853438295901"/>
  </r>
  <r>
    <s v="Oct"/>
    <s v="2024-10-21"/>
    <x v="0"/>
    <n v="8993"/>
    <n v="506"/>
    <n v="562232"/>
    <n v="3.5131404829323132"/>
    <n v="20028"/>
    <n v="1975200.0000000002"/>
    <n v="2.2270654953852995"/>
  </r>
  <r>
    <s v="Oct"/>
    <s v="2024-10-28"/>
    <x v="2"/>
    <n v="7007"/>
    <n v="568"/>
    <n v="568671"/>
    <n v="11.50507059442103"/>
    <n v="22448"/>
    <n v="6542600.0000000009"/>
    <n v="3.2036534893677753"/>
  </r>
  <r>
    <s v="Oct"/>
    <s v="2024-10-28"/>
    <x v="2"/>
    <n v="6542"/>
    <n v="539"/>
    <n v="574674"/>
    <n v="6.4069368024305948"/>
    <n v="55253"/>
    <n v="3681899.9999999995"/>
    <n v="8.4458881076123511"/>
  </r>
  <r>
    <s v="Oct"/>
    <s v="2024-10-28"/>
    <x v="3"/>
    <n v="7356"/>
    <n v="904"/>
    <n v="581126"/>
    <n v="17.560907617280929"/>
    <n v="44051"/>
    <n v="10205099.999999996"/>
    <n v="5.9884448069603042"/>
  </r>
  <r>
    <s v="Oct"/>
    <s v="2024-10-28"/>
    <x v="3"/>
    <n v="9433"/>
    <n v="1073"/>
    <n v="589486"/>
    <n v="7.2934726185185053"/>
    <n v="59811"/>
    <n v="4299400"/>
    <n v="6.3406127424997347"/>
  </r>
  <r>
    <s v="Nov"/>
    <s v="2024-11-04"/>
    <x v="1"/>
    <n v="8380"/>
    <n v="1162"/>
    <n v="596704"/>
    <n v="18.05853488496809"/>
    <n v="40447"/>
    <n v="10775599.999999998"/>
    <n v="4.8266109785202866"/>
  </r>
  <r>
    <s v="Nov"/>
    <s v="2024-11-04"/>
    <x v="2"/>
    <n v="3385"/>
    <n v="329"/>
    <n v="599760"/>
    <n v="17.61788048552755"/>
    <n v="28394"/>
    <n v="10566500.000000004"/>
    <n v="8.3881831610044308"/>
  </r>
  <r>
    <s v="Nov"/>
    <s v="2024-11-04"/>
    <x v="3"/>
    <n v="5268"/>
    <n v="326"/>
    <n v="604702"/>
    <n v="23.435841125050029"/>
    <n v="44501"/>
    <n v="14171700.000000002"/>
    <n v="8.4474183750949123"/>
  </r>
  <r>
    <s v="Nov"/>
    <s v="2024-11-04"/>
    <x v="1"/>
    <n v="1671"/>
    <n v="202"/>
    <n v="606171"/>
    <n v="15.150015424690389"/>
    <n v="40254"/>
    <n v="9183499.9999999981"/>
    <n v="24.089766606822263"/>
  </r>
  <r>
    <s v="Nov"/>
    <s v="2024-11-11"/>
    <x v="1"/>
    <n v="1163"/>
    <n v="146"/>
    <n v="607188"/>
    <n v="21.77776899411715"/>
    <n v="28509"/>
    <n v="13223200.000000004"/>
    <n v="24.513327601031815"/>
  </r>
  <r>
    <s v="Nov"/>
    <s v="2024-11-11"/>
    <x v="1"/>
    <n v="9656"/>
    <n v="1024"/>
    <n v="615820"/>
    <n v="8.7252768666168681"/>
    <n v="58998"/>
    <n v="5373200"/>
    <n v="6.1099834299917148"/>
  </r>
  <r>
    <s v="Nov"/>
    <s v="2024-11-11"/>
    <x v="3"/>
    <n v="5592"/>
    <n v="710"/>
    <n v="620702"/>
    <n v="9.07118069540617"/>
    <n v="24472"/>
    <n v="5630500.0000000009"/>
    <n v="4.3762517882689558"/>
  </r>
  <r>
    <s v="Nov"/>
    <s v="2024-11-11"/>
    <x v="2"/>
    <n v="5795"/>
    <n v="575"/>
    <n v="625922"/>
    <n v="3.0908004511744269"/>
    <n v="55657"/>
    <n v="1934599.9999999995"/>
    <n v="9.604314063848145"/>
  </r>
  <r>
    <s v="Nov"/>
    <s v="2024-11-18"/>
    <x v="0"/>
    <n v="5798"/>
    <n v="592"/>
    <n v="631128"/>
    <n v="1.6774727155188811"/>
    <n v="13471"/>
    <n v="1058700.0000000005"/>
    <n v="2.3233873749568819"/>
  </r>
  <r>
    <s v="Nov"/>
    <s v="2024-11-18"/>
    <x v="1"/>
    <n v="7036"/>
    <n v="652"/>
    <n v="637512"/>
    <n v="3.5705994553828009"/>
    <n v="51796"/>
    <n v="2276300"/>
    <n v="7.3615690733371233"/>
  </r>
  <r>
    <s v="Nov"/>
    <s v="2024-11-18"/>
    <x v="3"/>
    <n v="3355"/>
    <n v="176"/>
    <n v="640691"/>
    <n v="12.426427091999111"/>
    <n v="40268"/>
    <n v="7961500.0000000028"/>
    <n v="12.002384500745157"/>
  </r>
  <r>
    <s v="Nov"/>
    <s v="2024-11-18"/>
    <x v="3"/>
    <n v="6887"/>
    <n v="418"/>
    <n v="647160"/>
    <n v="20.240280610668151"/>
    <n v="18329"/>
    <n v="13098700"/>
    <n v="2.6613910265718022"/>
  </r>
  <r>
    <s v="Nov"/>
    <s v="2024-11-25"/>
    <x v="0"/>
    <n v="8961"/>
    <n v="476"/>
    <n v="655645"/>
    <n v="15.458517947974901"/>
    <n v="44865"/>
    <n v="10135300.000000004"/>
    <n v="5.0066956812855707"/>
  </r>
  <r>
    <s v="Nov"/>
    <s v="2024-11-25"/>
    <x v="0"/>
    <n v="6827"/>
    <n v="775"/>
    <n v="661697"/>
    <n v="15.96622018839439"/>
    <n v="56850"/>
    <n v="10564800.000000002"/>
    <n v="8.3272301157170059"/>
  </r>
  <r>
    <s v="Nov"/>
    <s v="2024-11-25"/>
    <x v="3"/>
    <n v="9737"/>
    <n v="792"/>
    <n v="670642"/>
    <n v="5.301785453341723"/>
    <n v="56698"/>
    <n v="3555600"/>
    <n v="5.8229434117284589"/>
  </r>
  <r>
    <s v="Nov"/>
    <s v="2024-11-25"/>
    <x v="2"/>
    <n v="5719"/>
    <n v="576"/>
    <n v="675785"/>
    <n v="10.21656296011305"/>
    <n v="38272"/>
    <n v="6904199.9999999972"/>
    <n v="6.6920790347962926"/>
  </r>
  <r>
    <s v="Dec"/>
    <s v="2024-12-02"/>
    <x v="0"/>
    <n v="1593"/>
    <n v="224"/>
    <n v="677154"/>
    <n v="4.1495730660972248"/>
    <n v="52845"/>
    <n v="2809900"/>
    <n v="33.173258003766477"/>
  </r>
  <r>
    <s v="Dec"/>
    <s v="2024-12-02"/>
    <x v="3"/>
    <n v="5839"/>
    <n v="437"/>
    <n v="682556"/>
    <n v="17.44750613869045"/>
    <n v="16397"/>
    <n v="11908899.999999998"/>
    <n v="2.8081863332762458"/>
  </r>
  <r>
    <s v="Dec"/>
    <s v="2024-12-02"/>
    <x v="0"/>
    <n v="8394"/>
    <n v="764"/>
    <n v="690186"/>
    <n v="6.3556780346167558"/>
    <n v="42373"/>
    <n v="4386600"/>
    <n v="5.0480104836788184"/>
  </r>
  <r>
    <s v="Dec"/>
    <s v="2024-12-02"/>
    <x v="2"/>
    <n v="4493"/>
    <n v="564"/>
    <n v="694115"/>
    <n v="16.625487131094989"/>
    <n v="45525"/>
    <n v="11539999.999999998"/>
    <n v="10.132428221678166"/>
  </r>
  <r>
    <s v="Dec"/>
    <s v="2024-12-09"/>
    <x v="1"/>
    <n v="7164"/>
    <n v="522"/>
    <n v="700757"/>
    <n v="13.449169969047761"/>
    <n v="34570"/>
    <n v="9424600.0000000019"/>
    <n v="4.8255164712451144"/>
  </r>
  <r>
    <s v="Dec"/>
    <s v="2024-12-09"/>
    <x v="0"/>
    <n v="3672"/>
    <n v="211"/>
    <n v="704218"/>
    <n v="12.35057894004413"/>
    <n v="28284"/>
    <n v="8697499.9999999981"/>
    <n v="7.7026143790849675"/>
  </r>
  <r>
    <s v="Dec"/>
    <s v="2024-12-09"/>
    <x v="2"/>
    <n v="5200"/>
    <n v="410"/>
    <n v="709008"/>
    <n v="12.913394489201821"/>
    <n v="28994"/>
    <n v="9155700.0000000037"/>
    <n v="5.5757692307692306"/>
  </r>
  <r>
    <s v="Dec"/>
    <s v="2024-12-09"/>
    <x v="3"/>
    <n v="1016"/>
    <n v="67"/>
    <n v="709957"/>
    <n v="20.774215903216671"/>
    <n v="33284"/>
    <n v="14748799.999999998"/>
    <n v="32.759842519685037"/>
  </r>
  <r>
    <s v="Dec"/>
    <s v="2024-12-16"/>
    <x v="0"/>
    <n v="4191"/>
    <n v="599"/>
    <n v="713549"/>
    <n v="11.56416728213479"/>
    <n v="27833"/>
    <n v="8251599.9999999972"/>
    <n v="6.6411357671200193"/>
  </r>
  <r>
    <s v="Dec"/>
    <s v="2024-12-16"/>
    <x v="0"/>
    <n v="1392"/>
    <n v="182"/>
    <n v="714759"/>
    <n v="5.9603306848881932"/>
    <n v="35122"/>
    <n v="4260200"/>
    <n v="25.231321839080461"/>
  </r>
  <r>
    <s v="Dec"/>
    <s v="2024-12-16"/>
    <x v="3"/>
    <n v="9616"/>
    <n v="1089"/>
    <n v="723286"/>
    <n v="19.25863351426683"/>
    <n v="15017"/>
    <n v="13929499.999999998"/>
    <n v="1.5616680532445923"/>
  </r>
  <r>
    <s v="Dec"/>
    <s v="2024-12-16"/>
    <x v="1"/>
    <n v="7272"/>
    <n v="997"/>
    <n v="729561"/>
    <n v="13.428486445958599"/>
    <n v="26370"/>
    <n v="9796900.0000000019"/>
    <n v="3.6262376237623761"/>
  </r>
  <r>
    <s v="Dec"/>
    <s v="2024-12-23"/>
    <x v="3"/>
    <n v="1571"/>
    <n v="204"/>
    <n v="730928"/>
    <n v="19.449384891535139"/>
    <n v="39252"/>
    <n v="14216099.999999996"/>
    <n v="24.985359643539148"/>
  </r>
  <r>
    <s v="Dec"/>
    <s v="2024-12-23"/>
    <x v="0"/>
    <n v="4631"/>
    <n v="317"/>
    <n v="735242"/>
    <n v="1.381177897889402"/>
    <n v="17999"/>
    <n v="1015499.9999999998"/>
    <n v="3.8866335564672858"/>
  </r>
  <r>
    <s v="Dec"/>
    <s v="2024-12-23"/>
    <x v="3"/>
    <n v="7172"/>
    <n v="998"/>
    <n v="741416"/>
    <n v="18.0667803230575"/>
    <n v="32436"/>
    <n v="13395000"/>
    <n v="4.5225878416062466"/>
  </r>
  <r>
    <s v="Dec"/>
    <s v="2024-12-23"/>
    <x v="2"/>
    <n v="8177"/>
    <n v="849"/>
    <n v="748744"/>
    <n v="10.34986590877523"/>
    <n v="52963"/>
    <n v="7749400.0000000009"/>
    <n v="6.4770698300110068"/>
  </r>
  <r>
    <s v="Dec"/>
    <s v="2024-12-30"/>
    <x v="3"/>
    <n v="9433"/>
    <n v="1233"/>
    <n v="756944"/>
    <n v="11.391727789638329"/>
    <n v="12096"/>
    <n v="8622899.9999999963"/>
    <n v="1.28230679529312"/>
  </r>
  <r>
    <s v="Dec"/>
    <s v="2024-12-30"/>
    <x v="0"/>
    <n v="4897"/>
    <n v="683"/>
    <n v="761158"/>
    <n v="15.06231294947961"/>
    <n v="58201"/>
    <n v="11464800.000000002"/>
    <n v="11.885031652031856"/>
  </r>
  <r>
    <s v="Dec"/>
    <s v="2024-12-30"/>
    <x v="3"/>
    <n v="9123"/>
    <n v="746"/>
    <n v="769535"/>
    <n v="6.3086149427901264"/>
    <n v="35279"/>
    <n v="4854700"/>
    <n v="3.86703935109065"/>
  </r>
  <r>
    <s v="Dec"/>
    <s v="2024-12-30"/>
    <x v="1"/>
    <n v="3279"/>
    <n v="200"/>
    <n v="772614"/>
    <n v="5.0212654702089274"/>
    <n v="53363"/>
    <n v="3879500.0000000005"/>
    <n v="16.274168953949374"/>
  </r>
  <r>
    <s v="Jan"/>
    <s v="2025-01-06"/>
    <x v="3"/>
    <n v="9980"/>
    <n v="726"/>
    <n v="781868"/>
    <n v="4.0220344099003924"/>
    <n v="58709"/>
    <n v="3144700"/>
    <n v="5.8826653306613226"/>
  </r>
  <r>
    <s v="Jan"/>
    <s v="2025-01-06"/>
    <x v="1"/>
    <n v="8451"/>
    <n v="783"/>
    <n v="789536"/>
    <n v="12.407287318121019"/>
    <n v="36201"/>
    <n v="9795999.9999999981"/>
    <n v="4.2836350727724533"/>
  </r>
  <r>
    <s v="Jan"/>
    <s v="2025-01-06"/>
    <x v="2"/>
    <n v="9906"/>
    <n v="1305"/>
    <n v="798137"/>
    <n v="9.1811305577864442"/>
    <n v="29715"/>
    <n v="7327799.9999999991"/>
    <n v="2.9996971532404602"/>
  </r>
  <r>
    <s v="Jan"/>
    <s v="2025-01-06"/>
    <x v="1"/>
    <n v="1775"/>
    <n v="241"/>
    <n v="799671"/>
    <n v="8.1379717408784362"/>
    <n v="39309"/>
    <n v="6507700"/>
    <n v="22.145915492957748"/>
  </r>
  <r>
    <s v="Jan"/>
    <s v="2025-01-13"/>
    <x v="3"/>
    <n v="7869"/>
    <n v="398"/>
    <n v="807142"/>
    <n v="15.211945357818079"/>
    <n v="25078"/>
    <n v="12278200"/>
    <n v="3.1869360782818656"/>
  </r>
  <r>
    <s v="Jan"/>
    <s v="2025-01-13"/>
    <x v="0"/>
    <n v="3247"/>
    <n v="328"/>
    <n v="810061"/>
    <n v="13.941172331466399"/>
    <n v="15105"/>
    <n v="11293200.000000002"/>
    <n v="4.6519864490298737"/>
  </r>
  <r>
    <s v="Jan"/>
    <s v="2025-01-13"/>
    <x v="1"/>
    <n v="8088"/>
    <n v="742"/>
    <n v="817407"/>
    <n v="14.664542877660701"/>
    <n v="39312"/>
    <n v="11986900"/>
    <n v="4.8605341246290799"/>
  </r>
  <r>
    <s v="Jan"/>
    <s v="2025-01-13"/>
    <x v="2"/>
    <n v="1078"/>
    <n v="77"/>
    <n v="818408"/>
    <n v="18.236747441373989"/>
    <n v="12839"/>
    <n v="14925100.000000004"/>
    <n v="11.910018552875696"/>
  </r>
  <r>
    <s v="Jan"/>
    <s v="2025-01-20"/>
    <x v="1"/>
    <n v="9080"/>
    <n v="562"/>
    <n v="826926"/>
    <n v="7.1083748727213809"/>
    <n v="13384"/>
    <n v="5878100.0000000009"/>
    <n v="1.4740088105726872"/>
  </r>
  <r>
    <s v="Jan"/>
    <s v="2025-01-20"/>
    <x v="1"/>
    <n v="8099"/>
    <n v="678"/>
    <n v="834347"/>
    <n v="7.6464588474579518"/>
    <n v="53619"/>
    <n v="6379800"/>
    <n v="6.6204469687615752"/>
  </r>
  <r>
    <s v="Jan"/>
    <s v="2025-01-20"/>
    <x v="1"/>
    <n v="4926"/>
    <n v="710"/>
    <n v="838563"/>
    <n v="12.96217457722318"/>
    <n v="52821"/>
    <n v="10869600.000000002"/>
    <n v="10.722898903775883"/>
  </r>
  <r>
    <s v="Jan"/>
    <s v="2025-01-20"/>
    <x v="2"/>
    <n v="8340"/>
    <n v="686"/>
    <n v="846217"/>
    <n v="7.201344336027284"/>
    <n v="23493"/>
    <n v="6093900"/>
    <n v="2.816906474820144"/>
  </r>
  <r>
    <s v="Jan"/>
    <s v="2025-01-27"/>
    <x v="3"/>
    <n v="8083"/>
    <n v="823"/>
    <n v="853477"/>
    <n v="4.6300017457998282"/>
    <n v="27069"/>
    <n v="3951600"/>
    <n v="3.3488803662006679"/>
  </r>
  <r>
    <s v="Jan"/>
    <s v="2025-01-27"/>
    <x v="1"/>
    <n v="7230"/>
    <n v="869"/>
    <n v="859838"/>
    <n v="7.0117859410726204"/>
    <n v="56907"/>
    <n v="6029000"/>
    <n v="7.8709543568464726"/>
  </r>
  <r>
    <s v="Jan"/>
    <s v="2025-01-27"/>
    <x v="1"/>
    <n v="5940"/>
    <n v="512"/>
    <n v="865266"/>
    <n v="15.7972230504839"/>
    <n v="17531"/>
    <n v="13668800.000000002"/>
    <n v="2.9513468013468014"/>
  </r>
  <r>
    <s v="Jan"/>
    <s v="2025-01-27"/>
    <x v="0"/>
    <n v="4271"/>
    <n v="628"/>
    <n v="868909"/>
    <n v="11.124410036033691"/>
    <n v="47051"/>
    <n v="9666099.9999999981"/>
    <n v="11.016389604308124"/>
  </r>
  <r>
    <s v="Feb"/>
    <s v="2025-02-03"/>
    <x v="2"/>
    <n v="4456"/>
    <n v="651"/>
    <n v="872714"/>
    <n v="9.5052903929580594"/>
    <n v="17736"/>
    <n v="8295400"/>
    <n v="3.9802513464991023"/>
  </r>
  <r>
    <s v="Feb"/>
    <s v="2025-02-03"/>
    <x v="1"/>
    <n v="8788"/>
    <n v="660"/>
    <n v="880842"/>
    <n v="3.7175793161543158"/>
    <n v="17710"/>
    <n v="3274600"/>
    <n v="2.0152480655439233"/>
  </r>
  <r>
    <s v="Feb"/>
    <s v="2025-02-03"/>
    <x v="2"/>
    <n v="9599"/>
    <n v="957"/>
    <n v="889484"/>
    <n v="8.768004820772493"/>
    <n v="11619"/>
    <n v="7799000"/>
    <n v="1.2104385873528491"/>
  </r>
  <r>
    <s v="Feb"/>
    <s v="2025-02-03"/>
    <x v="1"/>
    <n v="8650"/>
    <n v="692"/>
    <n v="897442"/>
    <n v="7.6673478620345374"/>
    <n v="23975"/>
    <n v="6880999.9999999991"/>
    <n v="2.7716763005780347"/>
  </r>
  <r>
    <s v="Feb"/>
    <s v="2025-02-10"/>
    <x v="3"/>
    <n v="3711"/>
    <n v="291"/>
    <n v="900862"/>
    <n v="14.24879726306582"/>
    <n v="55603"/>
    <n v="12836200"/>
    <n v="14.983292912961465"/>
  </r>
  <r>
    <s v="Feb"/>
    <s v="2025-02-10"/>
    <x v="3"/>
    <n v="2668"/>
    <n v="143"/>
    <n v="903387"/>
    <n v="15.903372530266649"/>
    <n v="33252"/>
    <n v="14366899.999999998"/>
    <n v="12.463268365817092"/>
  </r>
  <r>
    <s v="Feb"/>
    <s v="2025-02-10"/>
    <x v="1"/>
    <n v="1147"/>
    <n v="127"/>
    <n v="904407"/>
    <n v="1.3997016829812241"/>
    <n v="25261"/>
    <n v="1265900"/>
    <n v="22.023539668700959"/>
  </r>
  <r>
    <s v="Feb"/>
    <s v="2025-02-10"/>
    <x v="3"/>
    <n v="7420"/>
    <n v="743"/>
    <n v="911084"/>
    <n v="10.593534734448189"/>
    <n v="11431"/>
    <n v="9651599.9999999944"/>
    <n v="1.540566037735849"/>
  </r>
  <r>
    <s v="Feb"/>
    <s v="2025-02-17"/>
    <x v="1"/>
    <n v="1365"/>
    <n v="75"/>
    <n v="912374"/>
    <n v="9.2688963078737441"/>
    <n v="19067"/>
    <n v="8456700"/>
    <n v="13.968498168498169"/>
  </r>
  <r>
    <s v="Feb"/>
    <s v="2025-02-17"/>
    <x v="3"/>
    <n v="5531"/>
    <n v="430"/>
    <n v="917475"/>
    <n v="2.7289026948963189"/>
    <n v="47481"/>
    <n v="2503700"/>
    <n v="8.5845235942867468"/>
  </r>
  <r>
    <s v="Feb"/>
    <s v="2025-02-17"/>
    <x v="0"/>
    <n v="6330"/>
    <n v="891"/>
    <n v="922914"/>
    <n v="14.789893749580139"/>
    <n v="37037"/>
    <n v="13649800.000000006"/>
    <n v="5.851026856240126"/>
  </r>
  <r>
    <s v="Feb"/>
    <s v="2025-02-17"/>
    <x v="0"/>
    <n v="6510"/>
    <n v="481"/>
    <n v="928943"/>
    <n v="2.3800168578696428"/>
    <n v="19557"/>
    <n v="2210899.9999999995"/>
    <n v="3.004147465437788"/>
  </r>
  <r>
    <s v="Feb"/>
    <s v="2025-02-24"/>
    <x v="0"/>
    <n v="9754"/>
    <n v="629"/>
    <n v="938068"/>
    <n v="3.4123325814333292"/>
    <n v="19435"/>
    <n v="3201000.0000000005"/>
    <n v="1.992515890916547"/>
  </r>
  <r>
    <s v="Feb"/>
    <s v="2025-02-24"/>
    <x v="2"/>
    <n v="9964"/>
    <n v="985"/>
    <n v="947047"/>
    <n v="1.9837452629066989"/>
    <n v="47766"/>
    <n v="1878700.0000000005"/>
    <n v="4.7938578883982332"/>
  </r>
  <r>
    <s v="Feb"/>
    <s v="2025-02-24"/>
    <x v="2"/>
    <n v="7493"/>
    <n v="1113"/>
    <n v="953427"/>
    <n v="15.684892498324469"/>
    <n v="10162"/>
    <n v="14954400.000000004"/>
    <n v="1.3561991191778995"/>
  </r>
  <r>
    <s v="Feb"/>
    <s v="2025-02-24"/>
    <x v="0"/>
    <n v="6439"/>
    <n v="477"/>
    <n v="959389"/>
    <n v="7.4744446725989153"/>
    <n v="44742"/>
    <n v="7170900.0000000009"/>
    <n v="6.9485945022519022"/>
  </r>
  <r>
    <s v="Mar"/>
    <s v="2025-03-03"/>
    <x v="2"/>
    <n v="7511"/>
    <n v="880"/>
    <n v="966020"/>
    <n v="4.6083932009689246"/>
    <n v="29675"/>
    <n v="4451800.0000000009"/>
    <n v="3.9508720543203304"/>
  </r>
  <r>
    <s v="Mar"/>
    <s v="2025-03-03"/>
    <x v="3"/>
    <n v="8504"/>
    <n v="1072"/>
    <n v="973452"/>
    <n v="6.5651927367759271"/>
    <n v="18461"/>
    <n v="6390900"/>
    <n v="2.1708607714016934"/>
  </r>
  <r>
    <s v="Mar"/>
    <s v="2025-03-03"/>
    <x v="1"/>
    <n v="2246"/>
    <n v="165"/>
    <n v="975533"/>
    <n v="2.9062061457685191"/>
    <n v="27015"/>
    <n v="2835100.0000000009"/>
    <n v="12.028049866429207"/>
  </r>
  <r>
    <s v="Mar"/>
    <s v="2025-03-03"/>
    <x v="1"/>
    <n v="4839"/>
    <n v="594"/>
    <n v="979778"/>
    <n v="2.5803804535313102"/>
    <n v="42591"/>
    <n v="2528200"/>
    <n v="8.8016119032858029"/>
  </r>
  <r>
    <s v="Mar"/>
    <s v="2025-03-10"/>
    <x v="1"/>
    <n v="9551"/>
    <n v="828"/>
    <n v="988501"/>
    <n v="1.525036393488727"/>
    <n v="38047"/>
    <n v="1507500.0000000002"/>
    <n v="3.9835619306878862"/>
  </r>
  <r>
    <s v="Mar"/>
    <s v="2025-03-10"/>
    <x v="0"/>
    <n v="3376"/>
    <n v="382"/>
    <n v="991495"/>
    <n v="3.8694093263203548"/>
    <n v="44782"/>
    <n v="3836500"/>
    <n v="13.264810426540285"/>
  </r>
  <r>
    <s v="Mar"/>
    <s v="2025-03-10"/>
    <x v="2"/>
    <n v="4009"/>
    <n v="454"/>
    <n v="995050"/>
    <n v="2.1106477061454201"/>
    <n v="19833"/>
    <n v="2100200.0000000005"/>
    <n v="4.9471189822898483"/>
  </r>
  <r>
    <s v="Mar"/>
    <s v="2025-03-10"/>
    <x v="3"/>
    <n v="2827"/>
    <n v="292"/>
    <n v="997585"/>
    <n v="2.4004972007397871"/>
    <n v="17896"/>
    <n v="2394700.0000000005"/>
    <n v="6.3303855677396532"/>
  </r>
  <r>
    <s v="Mar"/>
    <s v="2025-03-17"/>
    <x v="3"/>
    <n v="7979"/>
    <n v="470"/>
    <n v="1005094"/>
    <n v="10.43086517280971"/>
    <n v="42972"/>
    <n v="10484000.000000004"/>
    <n v="5.3856372979070057"/>
  </r>
  <r>
    <s v="Mar"/>
    <s v="2025-03-17"/>
    <x v="0"/>
    <n v="9569"/>
    <n v="1277"/>
    <n v="1013386"/>
    <n v="12.45517502708741"/>
    <n v="59733"/>
    <n v="12621900.000000002"/>
    <n v="6.2423450726303686"/>
  </r>
  <r>
    <s v="Mar"/>
    <s v="2025-03-17"/>
    <x v="3"/>
    <n v="5285"/>
    <n v="433"/>
    <n v="1018238"/>
    <n v="8.7022876773406619"/>
    <n v="51800"/>
    <n v="8861000"/>
    <n v="9.8013245033112586"/>
  </r>
  <r>
    <s v="Mar"/>
    <s v="2025-03-17"/>
    <x v="3"/>
    <n v="7910"/>
    <n v="543"/>
    <n v="1025605"/>
    <n v="6.0590578244060822"/>
    <n v="40508"/>
    <n v="6214200"/>
    <n v="5.121112515802781"/>
  </r>
  <r>
    <s v="Mar"/>
    <s v="2025-03-24"/>
    <x v="3"/>
    <n v="9561"/>
    <n v="517"/>
    <n v="1034649"/>
    <n v="6.4086467971263694"/>
    <n v="15347"/>
    <n v="6630700.0000000009"/>
    <n v="1.6051668235540215"/>
  </r>
  <r>
    <s v="Mar"/>
    <s v="2025-03-24"/>
    <x v="3"/>
    <n v="3196"/>
    <n v="348"/>
    <n v="1037497"/>
    <n v="14.03040201562029"/>
    <n v="40314"/>
    <n v="14556500.000000004"/>
    <n v="12.61389236545682"/>
  </r>
  <r>
    <s v="Mar"/>
    <s v="2025-03-24"/>
    <x v="2"/>
    <n v="4747"/>
    <n v="558"/>
    <n v="1041686"/>
    <n v="5.7680529449373434"/>
    <n v="12643"/>
    <n v="6008500.0000000019"/>
    <n v="2.6633663366336635"/>
  </r>
  <r>
    <s v="Mar"/>
    <s v="2025-03-24"/>
    <x v="3"/>
    <n v="9843"/>
    <n v="508"/>
    <n v="1051021"/>
    <n v="4.2080986012648651"/>
    <n v="50785"/>
    <n v="4422800"/>
    <n v="5.1595042161942501"/>
  </r>
  <r>
    <s v="Mar"/>
    <s v="2025-03-31"/>
    <x v="1"/>
    <n v="6978"/>
    <n v="706"/>
    <n v="1057293"/>
    <n v="5.057443868445171"/>
    <n v="28681"/>
    <n v="5347200"/>
    <n v="4.1102034967039263"/>
  </r>
  <r>
    <s v="Mar"/>
    <s v="2025-03-31"/>
    <x v="0"/>
    <n v="6607"/>
    <n v="479"/>
    <n v="1063421"/>
    <n v="5.5892257158735816"/>
    <n v="48328"/>
    <n v="5943700"/>
    <n v="7.3146662630543364"/>
  </r>
  <r>
    <s v="Mar"/>
    <s v="2025-03-31"/>
    <x v="2"/>
    <n v="1769"/>
    <n v="202"/>
    <n v="1064988"/>
    <n v="6.5457075572682513"/>
    <n v="25892"/>
    <n v="6971100"/>
    <n v="14.636517806670435"/>
  </r>
  <r>
    <s v="Mar"/>
    <s v="2025-03-31"/>
    <x v="3"/>
    <n v="1780"/>
    <n v="120"/>
    <n v="1066648"/>
    <n v="13.86474263299608"/>
    <n v="57299"/>
    <n v="14788800.000000004"/>
    <n v="32.190449438202251"/>
  </r>
  <r>
    <s v="Apr"/>
    <s v="2025-04-07"/>
    <x v="2"/>
    <n v="7303"/>
    <n v="869"/>
    <n v="1073082"/>
    <n v="8.1237966902808925"/>
    <n v="27073"/>
    <n v="8717500"/>
    <n v="3.7071066684924006"/>
  </r>
  <r>
    <s v="Apr"/>
    <s v="2025-04-07"/>
    <x v="3"/>
    <n v="4983"/>
    <n v="441"/>
    <n v="1077624"/>
    <n v="6.8954477628560609"/>
    <n v="46768"/>
    <n v="7430700"/>
    <n v="9.3855107365041146"/>
  </r>
  <r>
    <s v="Apr"/>
    <s v="2025-04-07"/>
    <x v="1"/>
    <n v="9714"/>
    <n v="1395"/>
    <n v="1085943"/>
    <n v="5.2243073531483697"/>
    <n v="40682"/>
    <n v="5673300"/>
    <n v="4.1879761169446157"/>
  </r>
  <r>
    <s v="Apr"/>
    <s v="2025-04-07"/>
    <x v="0"/>
    <n v="1521"/>
    <n v="96"/>
    <n v="1087368"/>
    <n v="12.709772588488899"/>
    <n v="42262"/>
    <n v="13820199.999999998"/>
    <n v="27.785667324128863"/>
  </r>
  <r>
    <s v="Apr"/>
    <s v="2025-04-14"/>
    <x v="3"/>
    <n v="8569"/>
    <n v="720"/>
    <n v="1095217"/>
    <n v="9.589697749395782"/>
    <n v="41358"/>
    <n v="10502800"/>
    <n v="4.8264674991247523"/>
  </r>
  <r>
    <s v="Apr"/>
    <s v="2025-04-14"/>
    <x v="3"/>
    <n v="6784"/>
    <n v="416"/>
    <n v="1101585"/>
    <n v="9.3041390360253633"/>
    <n v="24289"/>
    <n v="10249300"/>
    <n v="3.5803360849056602"/>
  </r>
  <r>
    <s v="Apr"/>
    <s v="2025-04-14"/>
    <x v="3"/>
    <n v="5583"/>
    <n v="795"/>
    <n v="1106373"/>
    <n v="12.21550055903389"/>
    <n v="59823"/>
    <n v="13514900.000000002"/>
    <n v="10.715206878022569"/>
  </r>
  <r>
    <s v="Apr"/>
    <s v="2025-04-14"/>
    <x v="3"/>
    <n v="6946"/>
    <n v="956"/>
    <n v="1112363"/>
    <n v="1.64146056637986"/>
    <n v="17927"/>
    <n v="1825900.0000000002"/>
    <n v="2.580909876187734"/>
  </r>
  <r>
    <s v="Apr"/>
    <s v="2025-04-21"/>
    <x v="0"/>
    <n v="5941"/>
    <n v="450"/>
    <n v="1117854"/>
    <n v="12.414411899944"/>
    <n v="58330"/>
    <n v="13877500"/>
    <n v="9.8182124221511522"/>
  </r>
  <r>
    <s v="Apr"/>
    <s v="2025-04-21"/>
    <x v="0"/>
    <n v="7267"/>
    <n v="842"/>
    <n v="1124279"/>
    <n v="2.2102165031989389"/>
    <n v="11171"/>
    <n v="2484900"/>
    <n v="1.5372230631622403"/>
  </r>
  <r>
    <s v="Apr"/>
    <s v="2025-04-21"/>
    <x v="1"/>
    <n v="8128"/>
    <n v="1070"/>
    <n v="1131337"/>
    <n v="8.1114645768679008"/>
    <n v="21918"/>
    <n v="9176800"/>
    <n v="2.6966043307086616"/>
  </r>
  <r>
    <s v="Apr"/>
    <s v="2025-04-21"/>
    <x v="0"/>
    <n v="3461"/>
    <n v="365"/>
    <n v="1134433"/>
    <n v="10.23489267325616"/>
    <n v="51903"/>
    <n v="11610800.000000006"/>
    <n v="14.996532793990177"/>
  </r>
  <r>
    <s v="Apr"/>
    <s v="2025-04-28"/>
    <x v="3"/>
    <n v="1685"/>
    <n v="173"/>
    <n v="1135945"/>
    <n v="8.7776256772995165"/>
    <n v="49110"/>
    <n v="9970900"/>
    <n v="29.145400593471809"/>
  </r>
  <r>
    <s v="Apr"/>
    <s v="2025-04-28"/>
    <x v="1"/>
    <n v="3160"/>
    <n v="234"/>
    <n v="1138871"/>
    <n v="5.6959041015180816"/>
    <n v="21929"/>
    <n v="6486899.9999999991"/>
    <n v="6.9395569620253168"/>
  </r>
  <r>
    <s v="Apr"/>
    <s v="2025-04-28"/>
    <x v="1"/>
    <n v="8031"/>
    <n v="476"/>
    <n v="1146426"/>
    <n v="11.940413075069831"/>
    <n v="12539"/>
    <n v="13688800.000000006"/>
    <n v="1.5613248661436931"/>
  </r>
  <r>
    <s v="Apr"/>
    <s v="2025-04-28"/>
    <x v="1"/>
    <n v="6341"/>
    <n v="885"/>
    <n v="1151882"/>
    <n v="6.3457020771224837"/>
    <n v="46727"/>
    <n v="7309500.0000000009"/>
    <n v="7.3690269673553068"/>
  </r>
  <r>
    <s v="May"/>
    <s v="2025-05-05"/>
    <x v="3"/>
    <n v="1038"/>
    <n v="145"/>
    <n v="1152775"/>
    <n v="11.093752033137431"/>
    <n v="55951"/>
    <n v="12788600.000000002"/>
    <n v="53.902697495183041"/>
  </r>
  <r>
    <s v="May"/>
    <s v="2025-05-05"/>
    <x v="2"/>
    <n v="5875"/>
    <n v="665"/>
    <n v="1157985"/>
    <n v="6.9871371390821126"/>
    <n v="32669"/>
    <n v="8091000"/>
    <n v="5.5606808510638297"/>
  </r>
  <r>
    <s v="May"/>
    <s v="2025-05-05"/>
    <x v="3"/>
    <n v="2256"/>
    <n v="189"/>
    <n v="1160052"/>
    <n v="2.8935771844710412"/>
    <n v="15432"/>
    <n v="3356700.0000000005"/>
    <n v="6.8404255319148932"/>
  </r>
  <r>
    <s v="May"/>
    <s v="2025-05-05"/>
    <x v="0"/>
    <n v="8697"/>
    <n v="738"/>
    <n v="1168011"/>
    <n v="3.8777032065622672"/>
    <n v="30644"/>
    <n v="4529200"/>
    <n v="3.5235138553524203"/>
  </r>
  <r>
    <s v="May"/>
    <s v="2025-05-12"/>
    <x v="0"/>
    <n v="3196"/>
    <n v="391"/>
    <n v="1170816"/>
    <n v="7.2439221876024931"/>
    <n v="28745"/>
    <n v="8481300"/>
    <n v="8.9940550688360457"/>
  </r>
  <r>
    <s v="May"/>
    <s v="2025-05-12"/>
    <x v="3"/>
    <n v="8165"/>
    <n v="1140"/>
    <n v="1177841"/>
    <n v="9.095964565675672"/>
    <n v="38228"/>
    <n v="10713600"/>
    <n v="4.6819350887936313"/>
  </r>
  <r>
    <s v="May"/>
    <s v="2025-05-12"/>
    <x v="3"/>
    <n v="1301"/>
    <n v="180"/>
    <n v="1178962"/>
    <n v="5.2275645864752214"/>
    <n v="44521"/>
    <n v="6163100"/>
    <n v="34.220599538816295"/>
  </r>
  <r>
    <s v="May"/>
    <s v="2025-05-12"/>
    <x v="1"/>
    <n v="8527"/>
    <n v="1091"/>
    <n v="1186398"/>
    <n v="1.676081719625286"/>
    <n v="41703"/>
    <n v="1988500"/>
    <n v="4.890700129001993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29141"/>
  </r>
  <r>
    <x v="1"/>
    <x v="0"/>
    <n v="7899"/>
  </r>
  <r>
    <x v="2"/>
    <x v="1"/>
    <n v="22920"/>
  </r>
  <r>
    <x v="0"/>
    <x v="2"/>
    <n v="6903"/>
  </r>
  <r>
    <x v="0"/>
    <x v="2"/>
    <n v="23673"/>
  </r>
  <r>
    <x v="1"/>
    <x v="0"/>
    <n v="16722"/>
  </r>
  <r>
    <x v="2"/>
    <x v="3"/>
    <n v="9041"/>
  </r>
  <r>
    <x v="2"/>
    <x v="2"/>
    <n v="22908"/>
  </r>
  <r>
    <x v="0"/>
    <x v="3"/>
    <n v="9656"/>
  </r>
  <r>
    <x v="3"/>
    <x v="2"/>
    <n v="22810"/>
  </r>
  <r>
    <x v="0"/>
    <x v="3"/>
    <n v="14979"/>
  </r>
  <r>
    <x v="0"/>
    <x v="1"/>
    <n v="5068"/>
  </r>
  <r>
    <x v="0"/>
    <x v="3"/>
    <n v="24956"/>
  </r>
  <r>
    <x v="0"/>
    <x v="1"/>
    <n v="11015"/>
  </r>
  <r>
    <x v="1"/>
    <x v="1"/>
    <n v="5412"/>
  </r>
  <r>
    <x v="2"/>
    <x v="3"/>
    <n v="8520"/>
  </r>
  <r>
    <x v="1"/>
    <x v="1"/>
    <n v="14990"/>
  </r>
  <r>
    <x v="1"/>
    <x v="0"/>
    <n v="17679"/>
  </r>
  <r>
    <x v="1"/>
    <x v="1"/>
    <n v="20424"/>
  </r>
  <r>
    <x v="0"/>
    <x v="2"/>
    <n v="9136"/>
  </r>
  <r>
    <x v="3"/>
    <x v="3"/>
    <n v="26323"/>
  </r>
  <r>
    <x v="2"/>
    <x v="0"/>
    <n v="12565"/>
  </r>
  <r>
    <x v="3"/>
    <x v="3"/>
    <n v="12652"/>
  </r>
  <r>
    <x v="1"/>
    <x v="2"/>
    <n v="26486"/>
  </r>
  <r>
    <x v="1"/>
    <x v="2"/>
    <n v="18165"/>
  </r>
  <r>
    <x v="3"/>
    <x v="2"/>
    <n v="24443"/>
  </r>
  <r>
    <x v="3"/>
    <x v="1"/>
    <n v="23373"/>
  </r>
  <r>
    <x v="3"/>
    <x v="1"/>
    <n v="15896"/>
  </r>
  <r>
    <x v="1"/>
    <x v="3"/>
    <n v="13893"/>
  </r>
  <r>
    <x v="1"/>
    <x v="3"/>
    <n v="14686"/>
  </r>
  <r>
    <x v="2"/>
    <x v="0"/>
    <n v="5794"/>
  </r>
  <r>
    <x v="2"/>
    <x v="0"/>
    <n v="4501"/>
  </r>
  <r>
    <x v="1"/>
    <x v="3"/>
    <n v="14246"/>
  </r>
  <r>
    <x v="3"/>
    <x v="1"/>
    <n v="20628"/>
  </r>
  <r>
    <x v="3"/>
    <x v="2"/>
    <n v="17456"/>
  </r>
  <r>
    <x v="2"/>
    <x v="3"/>
    <n v="22339"/>
  </r>
  <r>
    <x v="1"/>
    <x v="0"/>
    <n v="14691"/>
  </r>
  <r>
    <x v="2"/>
    <x v="1"/>
    <n v="12340"/>
  </r>
  <r>
    <x v="2"/>
    <x v="3"/>
    <n v="19266"/>
  </r>
  <r>
    <x v="0"/>
    <x v="3"/>
    <n v="23465"/>
  </r>
  <r>
    <x v="0"/>
    <x v="1"/>
    <n v="8623"/>
  </r>
  <r>
    <x v="0"/>
    <x v="3"/>
    <n v="15806"/>
  </r>
  <r>
    <x v="3"/>
    <x v="1"/>
    <n v="9144"/>
  </r>
  <r>
    <x v="1"/>
    <x v="2"/>
    <n v="25601"/>
  </r>
  <r>
    <x v="1"/>
    <x v="1"/>
    <n v="19483"/>
  </r>
  <r>
    <x v="1"/>
    <x v="1"/>
    <n v="19789"/>
  </r>
  <r>
    <x v="1"/>
    <x v="1"/>
    <n v="28908"/>
  </r>
  <r>
    <x v="0"/>
    <x v="3"/>
    <n v="11547"/>
  </r>
  <r>
    <x v="3"/>
    <x v="3"/>
    <n v="8065"/>
  </r>
  <r>
    <x v="3"/>
    <x v="1"/>
    <n v="19192"/>
  </r>
  <r>
    <x v="0"/>
    <x v="3"/>
    <n v="26074"/>
  </r>
  <r>
    <x v="3"/>
    <x v="0"/>
    <n v="22328"/>
  </r>
  <r>
    <x v="0"/>
    <x v="0"/>
    <n v="26768"/>
  </r>
  <r>
    <x v="1"/>
    <x v="3"/>
    <n v="8775"/>
  </r>
  <r>
    <x v="0"/>
    <x v="3"/>
    <n v="10974"/>
  </r>
  <r>
    <x v="1"/>
    <x v="1"/>
    <n v="18182"/>
  </r>
  <r>
    <x v="1"/>
    <x v="2"/>
    <n v="16057"/>
  </r>
  <r>
    <x v="2"/>
    <x v="3"/>
    <n v="9215"/>
  </r>
  <r>
    <x v="0"/>
    <x v="0"/>
    <n v="18868"/>
  </r>
  <r>
    <x v="2"/>
    <x v="1"/>
    <n v="12903"/>
  </r>
  <r>
    <x v="0"/>
    <x v="3"/>
    <n v="19598"/>
  </r>
  <r>
    <x v="0"/>
    <x v="0"/>
    <n v="20392"/>
  </r>
  <r>
    <x v="2"/>
    <x v="0"/>
    <n v="14671"/>
  </r>
  <r>
    <x v="2"/>
    <x v="2"/>
    <n v="21615"/>
  </r>
  <r>
    <x v="0"/>
    <x v="1"/>
    <n v="10638"/>
  </r>
  <r>
    <x v="3"/>
    <x v="1"/>
    <n v="15017"/>
  </r>
  <r>
    <x v="1"/>
    <x v="2"/>
    <n v="22595"/>
  </r>
  <r>
    <x v="2"/>
    <x v="2"/>
    <n v="13256"/>
  </r>
  <r>
    <x v="1"/>
    <x v="1"/>
    <n v="14611"/>
  </r>
  <r>
    <x v="3"/>
    <x v="1"/>
    <n v="10400"/>
  </r>
  <r>
    <x v="3"/>
    <x v="3"/>
    <n v="14282"/>
  </r>
  <r>
    <x v="3"/>
    <x v="3"/>
    <n v="27463"/>
  </r>
  <r>
    <x v="2"/>
    <x v="2"/>
    <n v="26221"/>
  </r>
  <r>
    <x v="3"/>
    <x v="3"/>
    <n v="24149"/>
  </r>
  <r>
    <x v="2"/>
    <x v="0"/>
    <n v="25061"/>
  </r>
  <r>
    <x v="3"/>
    <x v="3"/>
    <n v="19323"/>
  </r>
  <r>
    <x v="1"/>
    <x v="3"/>
    <n v="16955"/>
  </r>
  <r>
    <x v="1"/>
    <x v="0"/>
    <n v="6487"/>
  </r>
  <r>
    <x v="0"/>
    <x v="2"/>
    <n v="12087"/>
  </r>
  <r>
    <x v="1"/>
    <x v="0"/>
    <n v="16012"/>
  </r>
  <r>
    <x v="0"/>
    <x v="3"/>
    <n v="8397"/>
  </r>
  <r>
    <x v="1"/>
    <x v="2"/>
    <n v="25971"/>
  </r>
  <r>
    <x v="2"/>
    <x v="3"/>
    <n v="21588"/>
  </r>
  <r>
    <x v="1"/>
    <x v="0"/>
    <n v="16353"/>
  </r>
  <r>
    <x v="0"/>
    <x v="0"/>
    <n v="11329"/>
  </r>
  <r>
    <x v="0"/>
    <x v="3"/>
    <n v="11880"/>
  </r>
  <r>
    <x v="3"/>
    <x v="1"/>
    <n v="15893"/>
  </r>
  <r>
    <x v="2"/>
    <x v="1"/>
    <n v="26907"/>
  </r>
  <r>
    <x v="1"/>
    <x v="0"/>
    <n v="15211"/>
  </r>
  <r>
    <x v="3"/>
    <x v="0"/>
    <n v="11235"/>
  </r>
  <r>
    <x v="1"/>
    <x v="1"/>
    <n v="15658"/>
  </r>
  <r>
    <x v="1"/>
    <x v="1"/>
    <n v="22632"/>
  </r>
  <r>
    <x v="3"/>
    <x v="3"/>
    <n v="24483"/>
  </r>
  <r>
    <x v="3"/>
    <x v="3"/>
    <n v="13470"/>
  </r>
  <r>
    <x v="3"/>
    <x v="1"/>
    <n v="27582"/>
  </r>
  <r>
    <x v="3"/>
    <x v="3"/>
    <n v="10046"/>
  </r>
  <r>
    <x v="3"/>
    <x v="3"/>
    <n v="8741"/>
  </r>
  <r>
    <x v="1"/>
    <x v="2"/>
    <n v="23628"/>
  </r>
  <r>
    <x v="3"/>
    <x v="3"/>
    <n v="14426"/>
  </r>
  <r>
    <x v="2"/>
    <x v="0"/>
    <n v="23500"/>
  </r>
  <r>
    <x v="0"/>
    <x v="3"/>
    <n v="10063"/>
  </r>
  <r>
    <x v="3"/>
    <x v="3"/>
    <n v="12595"/>
  </r>
  <r>
    <x v="3"/>
    <x v="1"/>
    <n v="21025"/>
  </r>
  <r>
    <x v="1"/>
    <x v="0"/>
    <n v="29197"/>
  </r>
  <r>
    <x v="3"/>
    <x v="3"/>
    <n v="26500"/>
  </r>
  <r>
    <x v="3"/>
    <x v="3"/>
    <n v="26241"/>
  </r>
  <r>
    <x v="3"/>
    <x v="2"/>
    <n v="23610"/>
  </r>
  <r>
    <x v="1"/>
    <x v="3"/>
    <n v="24874"/>
  </r>
  <r>
    <x v="3"/>
    <x v="3"/>
    <n v="28554"/>
  </r>
  <r>
    <x v="0"/>
    <x v="2"/>
    <n v="9911"/>
  </r>
  <r>
    <x v="1"/>
    <x v="1"/>
    <n v="12377"/>
  </r>
  <r>
    <x v="0"/>
    <x v="3"/>
    <n v="20319"/>
  </r>
  <r>
    <x v="1"/>
    <x v="2"/>
    <n v="10929"/>
  </r>
  <r>
    <x v="3"/>
    <x v="0"/>
    <n v="9270"/>
  </r>
  <r>
    <x v="0"/>
    <x v="1"/>
    <n v="9972"/>
  </r>
  <r>
    <x v="1"/>
    <x v="0"/>
    <n v="10057"/>
  </r>
  <r>
    <x v="2"/>
    <x v="0"/>
    <n v="17933"/>
  </r>
  <r>
    <x v="3"/>
    <x v="2"/>
    <n v="16022"/>
  </r>
  <r>
    <x v="1"/>
    <x v="3"/>
    <n v="23022"/>
  </r>
  <r>
    <x v="2"/>
    <x v="2"/>
    <n v="12328"/>
  </r>
  <r>
    <x v="1"/>
    <x v="2"/>
    <n v="22584"/>
  </r>
  <r>
    <x v="2"/>
    <x v="2"/>
    <n v="13047"/>
  </r>
  <r>
    <x v="3"/>
    <x v="2"/>
    <n v="21360"/>
  </r>
  <r>
    <x v="0"/>
    <x v="1"/>
    <n v="10512"/>
  </r>
  <r>
    <x v="2"/>
    <x v="3"/>
    <n v="10921"/>
  </r>
  <r>
    <x v="1"/>
    <x v="0"/>
    <n v="16600"/>
  </r>
  <r>
    <x v="3"/>
    <x v="0"/>
    <n v="26526"/>
  </r>
  <r>
    <x v="2"/>
    <x v="3"/>
    <n v="18949"/>
  </r>
  <r>
    <x v="1"/>
    <x v="0"/>
    <n v="15217"/>
  </r>
  <r>
    <x v="1"/>
    <x v="3"/>
    <n v="11924"/>
  </r>
  <r>
    <x v="1"/>
    <x v="0"/>
    <n v="23051"/>
  </r>
  <r>
    <x v="2"/>
    <x v="2"/>
    <n v="8695"/>
  </r>
  <r>
    <x v="2"/>
    <x v="0"/>
    <n v="6501"/>
  </r>
  <r>
    <x v="2"/>
    <x v="3"/>
    <n v="9439"/>
  </r>
  <r>
    <x v="0"/>
    <x v="3"/>
    <n v="21343"/>
  </r>
  <r>
    <x v="2"/>
    <x v="3"/>
    <n v="15006"/>
  </r>
  <r>
    <x v="2"/>
    <x v="3"/>
    <n v="16494"/>
  </r>
  <r>
    <x v="2"/>
    <x v="3"/>
    <n v="26991"/>
  </r>
  <r>
    <x v="0"/>
    <x v="1"/>
    <n v="26866"/>
  </r>
  <r>
    <x v="2"/>
    <x v="1"/>
    <n v="17177"/>
  </r>
  <r>
    <x v="1"/>
    <x v="0"/>
    <n v="10054"/>
  </r>
  <r>
    <x v="2"/>
    <x v="3"/>
    <n v="8632"/>
  </r>
  <r>
    <x v="1"/>
    <x v="0"/>
    <n v="20033"/>
  </r>
  <r>
    <x v="1"/>
    <x v="3"/>
    <n v="13438"/>
  </r>
  <r>
    <x v="1"/>
    <x v="3"/>
    <n v="11859"/>
  </r>
  <r>
    <x v="0"/>
    <x v="1"/>
    <n v="22040"/>
  </r>
  <r>
    <x v="0"/>
    <x v="1"/>
    <n v="24824"/>
  </r>
  <r>
    <x v="0"/>
    <x v="2"/>
    <n v="23964"/>
  </r>
  <r>
    <x v="2"/>
    <x v="1"/>
    <n v="16314"/>
  </r>
  <r>
    <x v="1"/>
    <x v="2"/>
    <n v="18143"/>
  </r>
  <r>
    <x v="0"/>
    <x v="2"/>
    <n v="20358"/>
  </r>
  <r>
    <x v="0"/>
    <x v="2"/>
    <n v="15488"/>
  </r>
  <r>
    <x v="2"/>
    <x v="2"/>
    <n v="27772"/>
  </r>
  <r>
    <x v="0"/>
    <x v="2"/>
    <n v="11913"/>
  </r>
  <r>
    <x v="2"/>
    <x v="0"/>
    <n v="15695"/>
  </r>
  <r>
    <x v="3"/>
    <x v="1"/>
    <n v="16028"/>
  </r>
  <r>
    <x v="0"/>
    <x v="2"/>
    <n v="26300"/>
  </r>
  <r>
    <x v="3"/>
    <x v="3"/>
    <n v="17043"/>
  </r>
  <r>
    <x v="2"/>
    <x v="1"/>
    <n v="25062"/>
  </r>
  <r>
    <x v="1"/>
    <x v="1"/>
    <n v="25030"/>
  </r>
  <r>
    <x v="0"/>
    <x v="2"/>
    <n v="24907"/>
  </r>
  <r>
    <x v="2"/>
    <x v="0"/>
    <n v="8879"/>
  </r>
  <r>
    <x v="1"/>
    <x v="2"/>
    <n v="18106"/>
  </r>
  <r>
    <x v="1"/>
    <x v="0"/>
    <n v="20650"/>
  </r>
  <r>
    <x v="3"/>
    <x v="3"/>
    <n v="24079"/>
  </r>
  <r>
    <x v="2"/>
    <x v="1"/>
    <n v="26807"/>
  </r>
  <r>
    <x v="1"/>
    <x v="3"/>
    <n v="5466"/>
  </r>
  <r>
    <x v="0"/>
    <x v="0"/>
    <n v="22201"/>
  </r>
  <r>
    <x v="0"/>
    <x v="0"/>
    <n v="3807"/>
  </r>
  <r>
    <x v="3"/>
    <x v="3"/>
    <n v="18899"/>
  </r>
  <r>
    <x v="1"/>
    <x v="0"/>
    <n v="13253"/>
  </r>
  <r>
    <x v="2"/>
    <x v="3"/>
    <n v="12877"/>
  </r>
  <r>
    <x v="0"/>
    <x v="1"/>
    <n v="8656"/>
  </r>
  <r>
    <x v="1"/>
    <x v="3"/>
    <n v="15779"/>
  </r>
  <r>
    <x v="1"/>
    <x v="1"/>
    <n v="21455"/>
  </r>
  <r>
    <x v="3"/>
    <x v="3"/>
    <n v="21449"/>
  </r>
  <r>
    <x v="0"/>
    <x v="0"/>
    <n v="11751"/>
  </r>
  <r>
    <x v="0"/>
    <x v="3"/>
    <n v="9167"/>
  </r>
  <r>
    <x v="2"/>
    <x v="0"/>
    <n v="18942"/>
  </r>
  <r>
    <x v="0"/>
    <x v="3"/>
    <n v="17286"/>
  </r>
  <r>
    <x v="2"/>
    <x v="3"/>
    <n v="8748"/>
  </r>
  <r>
    <x v="0"/>
    <x v="2"/>
    <n v="10820"/>
  </r>
  <r>
    <x v="3"/>
    <x v="0"/>
    <n v="23046"/>
  </r>
  <r>
    <x v="0"/>
    <x v="2"/>
    <n v="21494"/>
  </r>
  <r>
    <x v="2"/>
    <x v="0"/>
    <n v="25075"/>
  </r>
  <r>
    <x v="2"/>
    <x v="2"/>
    <n v="26191"/>
  </r>
  <r>
    <x v="3"/>
    <x v="1"/>
    <n v="9929"/>
  </r>
  <r>
    <x v="0"/>
    <x v="3"/>
    <n v="6654"/>
  </r>
  <r>
    <x v="0"/>
    <x v="0"/>
    <n v="14322"/>
  </r>
  <r>
    <x v="3"/>
    <x v="0"/>
    <n v="25459"/>
  </r>
  <r>
    <x v="0"/>
    <x v="3"/>
    <n v="11940"/>
  </r>
  <r>
    <x v="0"/>
    <x v="0"/>
    <n v="12347"/>
  </r>
  <r>
    <x v="2"/>
    <x v="0"/>
    <n v="6083"/>
  </r>
  <r>
    <x v="0"/>
    <x v="2"/>
    <n v="9034"/>
  </r>
  <r>
    <x v="0"/>
    <x v="0"/>
    <n v="17282"/>
  </r>
  <r>
    <x v="3"/>
    <x v="1"/>
    <n v="12636"/>
  </r>
  <r>
    <x v="3"/>
    <x v="1"/>
    <n v="10722"/>
  </r>
  <r>
    <x v="1"/>
    <x v="3"/>
    <n v="18186"/>
  </r>
  <r>
    <x v="2"/>
    <x v="0"/>
    <n v="16991"/>
  </r>
  <r>
    <x v="0"/>
    <x v="3"/>
    <n v="7659"/>
  </r>
  <r>
    <x v="0"/>
    <x v="1"/>
    <n v="23335"/>
  </r>
  <r>
    <x v="1"/>
    <x v="0"/>
    <n v="22408"/>
  </r>
  <r>
    <x v="0"/>
    <x v="0"/>
    <n v="10991"/>
  </r>
  <r>
    <x v="2"/>
    <x v="3"/>
    <n v="20857"/>
  </r>
  <r>
    <x v="1"/>
    <x v="1"/>
    <n v="20163"/>
  </r>
  <r>
    <x v="2"/>
    <x v="0"/>
    <n v="8424"/>
  </r>
  <r>
    <x v="1"/>
    <x v="3"/>
    <n v="11743"/>
  </r>
  <r>
    <x v="1"/>
    <x v="1"/>
    <n v="9551"/>
  </r>
  <r>
    <x v="3"/>
    <x v="3"/>
    <n v="15343"/>
  </r>
  <r>
    <x v="2"/>
    <x v="2"/>
    <n v="11465"/>
  </r>
  <r>
    <x v="0"/>
    <x v="0"/>
    <n v="13868"/>
  </r>
  <r>
    <x v="0"/>
    <x v="2"/>
    <n v="13356"/>
  </r>
  <r>
    <x v="2"/>
    <x v="1"/>
    <n v="13707"/>
  </r>
  <r>
    <x v="0"/>
    <x v="2"/>
    <n v="22876"/>
  </r>
  <r>
    <x v="0"/>
    <x v="2"/>
    <n v="12815"/>
  </r>
  <r>
    <x v="2"/>
    <x v="1"/>
    <n v="27481"/>
  </r>
  <r>
    <x v="1"/>
    <x v="3"/>
    <n v="19531"/>
  </r>
  <r>
    <x v="2"/>
    <x v="2"/>
    <n v="18518"/>
  </r>
  <r>
    <x v="1"/>
    <x v="3"/>
    <n v="11942"/>
  </r>
  <r>
    <x v="0"/>
    <x v="2"/>
    <n v="18368"/>
  </r>
  <r>
    <x v="0"/>
    <x v="3"/>
    <n v="21894"/>
  </r>
  <r>
    <x v="0"/>
    <x v="1"/>
    <n v="10004"/>
  </r>
  <r>
    <x v="3"/>
    <x v="2"/>
    <n v="20488"/>
  </r>
  <r>
    <x v="1"/>
    <x v="1"/>
    <n v="7915"/>
  </r>
  <r>
    <x v="3"/>
    <x v="2"/>
    <n v="23782"/>
  </r>
  <r>
    <x v="3"/>
    <x v="1"/>
    <n v="26894"/>
  </r>
  <r>
    <x v="2"/>
    <x v="1"/>
    <n v="21015"/>
  </r>
  <r>
    <x v="3"/>
    <x v="2"/>
    <n v="7199"/>
  </r>
  <r>
    <x v="2"/>
    <x v="2"/>
    <n v="13307"/>
  </r>
  <r>
    <x v="2"/>
    <x v="2"/>
    <n v="15432"/>
  </r>
  <r>
    <x v="3"/>
    <x v="0"/>
    <n v="21856"/>
  </r>
  <r>
    <x v="1"/>
    <x v="3"/>
    <n v="19986"/>
  </r>
  <r>
    <x v="1"/>
    <x v="0"/>
    <n v="9404"/>
  </r>
  <r>
    <x v="1"/>
    <x v="0"/>
    <n v="24296"/>
  </r>
  <r>
    <x v="1"/>
    <x v="1"/>
    <n v="23712"/>
  </r>
  <r>
    <x v="1"/>
    <x v="2"/>
    <n v="5584"/>
  </r>
  <r>
    <x v="3"/>
    <x v="3"/>
    <n v="9886"/>
  </r>
  <r>
    <x v="3"/>
    <x v="1"/>
    <n v="12061"/>
  </r>
  <r>
    <x v="0"/>
    <x v="0"/>
    <n v="16785"/>
  </r>
  <r>
    <x v="1"/>
    <x v="2"/>
    <n v="26116"/>
  </r>
  <r>
    <x v="3"/>
    <x v="1"/>
    <n v="14801"/>
  </r>
  <r>
    <x v="0"/>
    <x v="2"/>
    <n v="19065"/>
  </r>
  <r>
    <x v="1"/>
    <x v="1"/>
    <n v="24070"/>
  </r>
  <r>
    <x v="2"/>
    <x v="2"/>
    <n v="16392"/>
  </r>
  <r>
    <x v="0"/>
    <x v="0"/>
    <n v="8512"/>
  </r>
  <r>
    <x v="3"/>
    <x v="3"/>
    <n v="23071"/>
  </r>
  <r>
    <x v="2"/>
    <x v="0"/>
    <n v="8365"/>
  </r>
  <r>
    <x v="2"/>
    <x v="3"/>
    <n v="16113"/>
  </r>
  <r>
    <x v="2"/>
    <x v="2"/>
    <n v="13207"/>
  </r>
  <r>
    <x v="0"/>
    <x v="1"/>
    <n v="10349"/>
  </r>
  <r>
    <x v="3"/>
    <x v="0"/>
    <n v="20035"/>
  </r>
  <r>
    <x v="2"/>
    <x v="3"/>
    <n v="13118"/>
  </r>
  <r>
    <x v="1"/>
    <x v="0"/>
    <n v="18755"/>
  </r>
  <r>
    <x v="2"/>
    <x v="3"/>
    <n v="26290"/>
  </r>
  <r>
    <x v="2"/>
    <x v="0"/>
    <n v="13871"/>
  </r>
  <r>
    <x v="0"/>
    <x v="3"/>
    <n v="4626"/>
  </r>
  <r>
    <x v="0"/>
    <x v="3"/>
    <n v="17905"/>
  </r>
  <r>
    <x v="3"/>
    <x v="2"/>
    <n v="24185"/>
  </r>
  <r>
    <x v="1"/>
    <x v="3"/>
    <n v="21030"/>
  </r>
  <r>
    <x v="0"/>
    <x v="2"/>
    <n v="19040"/>
  </r>
  <r>
    <x v="2"/>
    <x v="3"/>
    <n v="10571"/>
  </r>
  <r>
    <x v="3"/>
    <x v="1"/>
    <n v="25461"/>
  </r>
  <r>
    <x v="2"/>
    <x v="1"/>
    <n v="7009"/>
  </r>
  <r>
    <x v="2"/>
    <x v="1"/>
    <n v="15638"/>
  </r>
  <r>
    <x v="0"/>
    <x v="3"/>
    <n v="18707"/>
  </r>
  <r>
    <x v="3"/>
    <x v="2"/>
    <n v="21011"/>
  </r>
  <r>
    <x v="1"/>
    <x v="2"/>
    <n v="19499"/>
  </r>
  <r>
    <x v="1"/>
    <x v="3"/>
    <n v="27020"/>
  </r>
  <r>
    <x v="0"/>
    <x v="1"/>
    <n v="12250"/>
  </r>
  <r>
    <x v="0"/>
    <x v="1"/>
    <n v="13153"/>
  </r>
  <r>
    <x v="3"/>
    <x v="2"/>
    <n v="22600"/>
  </r>
  <r>
    <x v="1"/>
    <x v="1"/>
    <n v="17364"/>
  </r>
  <r>
    <x v="1"/>
    <x v="0"/>
    <n v="8090"/>
  </r>
  <r>
    <x v="1"/>
    <x v="2"/>
    <n v="10502"/>
  </r>
  <r>
    <x v="2"/>
    <x v="1"/>
    <n v="7111"/>
  </r>
  <r>
    <x v="1"/>
    <x v="2"/>
    <n v="10975"/>
  </r>
  <r>
    <x v="2"/>
    <x v="0"/>
    <n v="17657"/>
  </r>
  <r>
    <x v="3"/>
    <x v="2"/>
    <n v="16877"/>
  </r>
  <r>
    <x v="2"/>
    <x v="2"/>
    <n v="13931"/>
  </r>
  <r>
    <x v="3"/>
    <x v="2"/>
    <n v="6977"/>
  </r>
  <r>
    <x v="1"/>
    <x v="2"/>
    <n v="7823"/>
  </r>
  <r>
    <x v="1"/>
    <x v="0"/>
    <n v="25205"/>
  </r>
  <r>
    <x v="3"/>
    <x v="3"/>
    <n v="10634"/>
  </r>
  <r>
    <x v="0"/>
    <x v="2"/>
    <n v="23416"/>
  </r>
  <r>
    <x v="3"/>
    <x v="2"/>
    <n v="19842"/>
  </r>
  <r>
    <x v="0"/>
    <x v="1"/>
    <n v="25870"/>
  </r>
  <r>
    <x v="2"/>
    <x v="2"/>
    <n v="16507"/>
  </r>
  <r>
    <x v="2"/>
    <x v="1"/>
    <n v="5667"/>
  </r>
  <r>
    <x v="2"/>
    <x v="3"/>
    <n v="22156"/>
  </r>
  <r>
    <x v="1"/>
    <x v="0"/>
    <n v="27601"/>
  </r>
  <r>
    <x v="2"/>
    <x v="0"/>
    <n v="13128"/>
  </r>
  <r>
    <x v="0"/>
    <x v="3"/>
    <n v="5944"/>
  </r>
  <r>
    <x v="2"/>
    <x v="0"/>
    <n v="12473"/>
  </r>
  <r>
    <x v="3"/>
    <x v="3"/>
    <n v="23745"/>
  </r>
  <r>
    <x v="3"/>
    <x v="3"/>
    <n v="10468"/>
  </r>
  <r>
    <x v="1"/>
    <x v="3"/>
    <n v="7904"/>
  </r>
  <r>
    <x v="3"/>
    <x v="0"/>
    <n v="14265"/>
  </r>
  <r>
    <x v="0"/>
    <x v="1"/>
    <n v="5411"/>
  </r>
  <r>
    <x v="2"/>
    <x v="3"/>
    <n v="16149"/>
  </r>
  <r>
    <x v="1"/>
    <x v="2"/>
    <n v="2320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Jun"/>
    <x v="0"/>
    <x v="0"/>
    <n v="4138"/>
    <n v="361"/>
    <n v="103777"/>
    <n v="56.637790647253247"/>
    <n v="23944"/>
    <n v="5877700"/>
    <n v="5.7863702271628803"/>
    <n v="245.47694620781823"/>
  </r>
  <r>
    <s v="Jun"/>
    <x v="0"/>
    <x v="1"/>
    <n v="8693"/>
    <n v="1261"/>
    <n v="111209"/>
    <n v="69.475492091467416"/>
    <n v="29873"/>
    <n v="7726300"/>
    <n v="3.4364431151501207"/>
    <n v="258.63823519566165"/>
  </r>
  <r>
    <s v="Jun"/>
    <x v="0"/>
    <x v="2"/>
    <n v="9264"/>
    <n v="1141"/>
    <n v="119332"/>
    <n v="92.312204605638044"/>
    <n v="50372"/>
    <n v="11015800"/>
    <n v="5.4373920552677033"/>
    <n v="218.68895418089414"/>
  </r>
  <r>
    <s v="Jun"/>
    <x v="0"/>
    <x v="2"/>
    <n v="8842"/>
    <n v="971"/>
    <n v="127203"/>
    <n v="16.351815601833291"/>
    <n v="33928"/>
    <n v="2080000"/>
    <n v="3.8371409183442662"/>
    <n v="61.306295684979958"/>
  </r>
  <r>
    <s v="Jun"/>
    <x v="1"/>
    <x v="0"/>
    <n v="7721"/>
    <n v="506"/>
    <n v="134418"/>
    <n v="35.577824398518047"/>
    <n v="25379"/>
    <n v="4782299.9999999991"/>
    <n v="3.2870094547338429"/>
    <n v="188.43532054060441"/>
  </r>
  <r>
    <s v="Jun"/>
    <x v="1"/>
    <x v="2"/>
    <n v="8002"/>
    <n v="524"/>
    <n v="141896"/>
    <n v="52.064892597395271"/>
    <n v="46751"/>
    <n v="7387799.9999999991"/>
    <n v="5.8424143964008994"/>
    <n v="158.02442728497783"/>
  </r>
  <r>
    <s v="Jun"/>
    <x v="1"/>
    <x v="1"/>
    <n v="5225"/>
    <n v="291"/>
    <n v="146830"/>
    <n v="19.551862698358651"/>
    <n v="44546"/>
    <n v="2870800.0000000005"/>
    <n v="8.52555023923445"/>
    <n v="64.445741480716578"/>
  </r>
  <r>
    <s v="Jun"/>
    <x v="1"/>
    <x v="1"/>
    <n v="3978"/>
    <n v="543"/>
    <n v="150265"/>
    <n v="49.159817655475329"/>
    <n v="34286"/>
    <n v="7387000"/>
    <n v="8.6189039718451479"/>
    <n v="215.45237123023975"/>
  </r>
  <r>
    <s v="Jun"/>
    <x v="2"/>
    <x v="0"/>
    <n v="8373"/>
    <n v="921"/>
    <n v="157717"/>
    <n v="12.2263294381709"/>
    <n v="15110"/>
    <n v="1928299.9999999998"/>
    <n v="1.8046100561328078"/>
    <n v="127.61747187293182"/>
  </r>
  <r>
    <s v="Jun"/>
    <x v="2"/>
    <x v="1"/>
    <n v="6907"/>
    <n v="834"/>
    <n v="163790"/>
    <n v="54.158984064961238"/>
    <n v="22087"/>
    <n v="8870700.0000000019"/>
    <n v="3.1977703778775157"/>
    <n v="401.62539050119989"/>
  </r>
  <r>
    <s v="Jun"/>
    <x v="2"/>
    <x v="3"/>
    <n v="7097"/>
    <n v="369"/>
    <n v="170518"/>
    <n v="9.2506362964613711"/>
    <n v="33762"/>
    <n v="1577400"/>
    <n v="4.7572213611385088"/>
    <n v="46.721165807712815"/>
  </r>
  <r>
    <s v="Jun"/>
    <x v="2"/>
    <x v="0"/>
    <n v="6656"/>
    <n v="978"/>
    <n v="176196"/>
    <n v="60.425889350496043"/>
    <n v="27081"/>
    <n v="10646800"/>
    <n v="4.0686598557692308"/>
    <n v="393.14648646652637"/>
  </r>
  <r>
    <s v="Jun"/>
    <x v="3"/>
    <x v="1"/>
    <n v="9984"/>
    <n v="1330"/>
    <n v="184850"/>
    <n v="57.524479307546663"/>
    <n v="44947"/>
    <n v="10633400"/>
    <n v="4.5019030448717947"/>
    <n v="236.57641221883551"/>
  </r>
  <r>
    <s v="Jun"/>
    <x v="3"/>
    <x v="0"/>
    <n v="5259"/>
    <n v="374"/>
    <n v="189735"/>
    <n v="14.827522597306769"/>
    <n v="19596"/>
    <n v="2813300"/>
    <n v="3.7261836851112378"/>
    <n v="143.56501326801387"/>
  </r>
  <r>
    <s v="Jun"/>
    <x v="3"/>
    <x v="2"/>
    <n v="9286"/>
    <n v="633"/>
    <n v="198388"/>
    <n v="5.4343004617214756"/>
    <n v="48019"/>
    <n v="1078100"/>
    <n v="5.1711178117596379"/>
    <n v="22.451529602865531"/>
  </r>
  <r>
    <s v="Jun"/>
    <x v="3"/>
    <x v="1"/>
    <n v="6901"/>
    <n v="471"/>
    <n v="204818"/>
    <n v="60.827661631301943"/>
    <n v="52003"/>
    <n v="12458600.000000002"/>
    <n v="7.5355745544124044"/>
    <n v="239.57463992461976"/>
  </r>
  <r>
    <s v="Jul"/>
    <x v="4"/>
    <x v="3"/>
    <n v="5917"/>
    <n v="475"/>
    <n v="210260"/>
    <n v="17.894035955483691"/>
    <n v="28313"/>
    <n v="3762400.0000000009"/>
    <n v="4.7850261957072844"/>
    <n v="132.88595344894574"/>
  </r>
  <r>
    <s v="Jul"/>
    <x v="4"/>
    <x v="1"/>
    <n v="9429"/>
    <n v="966"/>
    <n v="218723"/>
    <n v="7.6914636320825887"/>
    <n v="57639"/>
    <n v="1682300"/>
    <n v="6.1129494113903915"/>
    <n v="29.186835302486163"/>
  </r>
  <r>
    <s v="Jul"/>
    <x v="4"/>
    <x v="0"/>
    <n v="3530"/>
    <n v="328"/>
    <n v="221925"/>
    <n v="12.8372197814577"/>
    <n v="11013"/>
    <n v="2848900"/>
    <n v="3.1198300283286118"/>
    <n v="258.68519022972851"/>
  </r>
  <r>
    <s v="Jul"/>
    <x v="4"/>
    <x v="0"/>
    <n v="2960"/>
    <n v="234"/>
    <n v="224651"/>
    <n v="17.41278694508371"/>
    <n v="59378"/>
    <n v="3911800.0000000005"/>
    <n v="20.060135135135134"/>
    <n v="65.879618714001822"/>
  </r>
  <r>
    <s v="Jul"/>
    <x v="5"/>
    <x v="1"/>
    <n v="8045"/>
    <n v="894"/>
    <n v="231802"/>
    <n v="47.634187798207087"/>
    <n v="33705"/>
    <n v="11041700"/>
    <n v="4.1895587321317587"/>
    <n v="327.59827918706424"/>
  </r>
  <r>
    <s v="Jul"/>
    <x v="5"/>
    <x v="3"/>
    <n v="2048"/>
    <n v="130"/>
    <n v="233720"/>
    <n v="39.284614068115687"/>
    <n v="11828"/>
    <n v="9181599.9999999981"/>
    <n v="5.775390625"/>
    <n v="776.25972269191732"/>
  </r>
  <r>
    <s v="Jul"/>
    <x v="5"/>
    <x v="3"/>
    <n v="6772"/>
    <n v="536"/>
    <n v="239956"/>
    <n v="9.8205504342462788"/>
    <n v="17909"/>
    <n v="2356500"/>
    <n v="2.6445658594211459"/>
    <n v="131.58188620246804"/>
  </r>
  <r>
    <s v="Jul"/>
    <x v="5"/>
    <x v="3"/>
    <n v="3529"/>
    <n v="305"/>
    <n v="243180"/>
    <n v="41.606628834608109"/>
    <n v="48356"/>
    <n v="10117900"/>
    <n v="13.702465287616889"/>
    <n v="209.23773678550748"/>
  </r>
  <r>
    <s v="Jul"/>
    <x v="6"/>
    <x v="0"/>
    <n v="3964"/>
    <n v="378"/>
    <n v="246766"/>
    <n v="13.6355899921383"/>
    <n v="23109"/>
    <n v="3364799.9999999995"/>
    <n v="5.8297174571140262"/>
    <n v="145.6056082045956"/>
  </r>
  <r>
    <s v="Jul"/>
    <x v="6"/>
    <x v="1"/>
    <n v="8137"/>
    <n v="1045"/>
    <n v="253858"/>
    <n v="20.47246886054408"/>
    <n v="12023"/>
    <n v="5197099.9999999991"/>
    <n v="1.4775715865798205"/>
    <n v="432.26316227231132"/>
  </r>
  <r>
    <s v="Jul"/>
    <x v="6"/>
    <x v="2"/>
    <n v="1963"/>
    <n v="137"/>
    <n v="255684"/>
    <n v="11.2083665774941"/>
    <n v="24537"/>
    <n v="2865800.0000000014"/>
    <n v="12.499745287824759"/>
    <n v="116.79504421893472"/>
  </r>
  <r>
    <s v="Jul"/>
    <x v="6"/>
    <x v="0"/>
    <n v="1536"/>
    <n v="155"/>
    <n v="257065"/>
    <n v="12.15762550327738"/>
    <n v="36661"/>
    <n v="3125299.9999999995"/>
    <n v="23.867838541666668"/>
    <n v="85.24862933362428"/>
  </r>
  <r>
    <s v="Jul"/>
    <x v="7"/>
    <x v="3"/>
    <n v="8340"/>
    <n v="911"/>
    <n v="264494"/>
    <n v="37.302925586213682"/>
    <n v="48659"/>
    <n v="9866400.0000000019"/>
    <n v="5.834412470023981"/>
    <n v="202.76618919418817"/>
  </r>
  <r>
    <s v="Jul"/>
    <x v="7"/>
    <x v="1"/>
    <n v="8179"/>
    <n v="446"/>
    <n v="272227"/>
    <n v="41.82171496581897"/>
    <n v="43848"/>
    <n v="11385000"/>
    <n v="5.3610465827118228"/>
    <n v="259.64696223316912"/>
  </r>
  <r>
    <s v="Jul"/>
    <x v="7"/>
    <x v="3"/>
    <n v="8967"/>
    <n v="993"/>
    <n v="280201"/>
    <n v="52.792102811910027"/>
    <n v="47804"/>
    <n v="14792400.000000002"/>
    <n v="5.331102932976469"/>
    <n v="309.43854070789058"/>
  </r>
  <r>
    <s v="Jul"/>
    <x v="7"/>
    <x v="2"/>
    <n v="9734"/>
    <n v="652"/>
    <n v="289283"/>
    <n v="49.647922622483861"/>
    <n v="25379"/>
    <n v="14362299.999999998"/>
    <n v="2.6072529278816519"/>
    <n v="565.91276252019384"/>
  </r>
  <r>
    <s v="Jul"/>
    <x v="8"/>
    <x v="3"/>
    <n v="1845"/>
    <n v="104"/>
    <n v="291024"/>
    <n v="28.158158777282971"/>
    <n v="37766"/>
    <n v="8194699.9999999991"/>
    <n v="20.469376693766936"/>
    <n v="216.98617804374302"/>
  </r>
  <r>
    <s v="Jul"/>
    <x v="8"/>
    <x v="3"/>
    <n v="6777"/>
    <n v="981"/>
    <n v="296820"/>
    <n v="23.920557913887201"/>
    <n v="53590"/>
    <n v="7100099.9999999991"/>
    <n v="7.9076287442821309"/>
    <n v="132.48927038626607"/>
  </r>
  <r>
    <s v="Jul"/>
    <x v="8"/>
    <x v="2"/>
    <n v="4036"/>
    <n v="591"/>
    <n v="300265"/>
    <n v="44.219272975538267"/>
    <n v="12563"/>
    <n v="13277499.999999998"/>
    <n v="3.1127353815659067"/>
    <n v="1056.8733582742973"/>
  </r>
  <r>
    <s v="Jul"/>
    <x v="8"/>
    <x v="1"/>
    <n v="6947"/>
    <n v="908"/>
    <n v="306304"/>
    <n v="14.117673944839121"/>
    <n v="46060"/>
    <n v="4324300.0000000019"/>
    <n v="6.6302000863682169"/>
    <n v="93.884064264003513"/>
  </r>
  <r>
    <s v="Aug"/>
    <x v="9"/>
    <x v="0"/>
    <n v="3494"/>
    <n v="281"/>
    <n v="309517"/>
    <n v="27.765518533715429"/>
    <n v="39197"/>
    <n v="8593899.9999999981"/>
    <n v="11.218374356038924"/>
    <n v="219.24892211138604"/>
  </r>
  <r>
    <s v="Aug"/>
    <x v="9"/>
    <x v="1"/>
    <n v="3719"/>
    <n v="222"/>
    <n v="313014"/>
    <n v="21.669318305251519"/>
    <n v="13586"/>
    <n v="6782799.9999999991"/>
    <n v="3.6531325625168054"/>
    <n v="499.24922714559096"/>
  </r>
  <r>
    <s v="Aug"/>
    <x v="9"/>
    <x v="2"/>
    <n v="2884"/>
    <n v="341"/>
    <n v="315557"/>
    <n v="46.999749649033298"/>
    <n v="26087"/>
    <n v="14831100"/>
    <n v="9.0454230235783637"/>
    <n v="568.52455245907925"/>
  </r>
  <r>
    <s v="Aug"/>
    <x v="9"/>
    <x v="3"/>
    <n v="5349"/>
    <n v="502"/>
    <n v="320404"/>
    <n v="5.2152906954969351"/>
    <n v="58868"/>
    <n v="1671000"/>
    <n v="11.005421574126006"/>
    <n v="28.385540531358291"/>
  </r>
  <r>
    <s v="Aug"/>
    <x v="10"/>
    <x v="1"/>
    <n v="6179"/>
    <n v="384"/>
    <n v="326199"/>
    <n v="14.71218489327067"/>
    <n v="33225"/>
    <n v="4799099.9999999991"/>
    <n v="5.3770836704968445"/>
    <n v="144.44243792325054"/>
  </r>
  <r>
    <s v="Aug"/>
    <x v="10"/>
    <x v="0"/>
    <n v="7610"/>
    <n v="757"/>
    <n v="333052"/>
    <n v="44.450416151231643"/>
    <n v="39750"/>
    <n v="14804300.000000002"/>
    <n v="5.2233902759526938"/>
    <n v="372.4352201257862"/>
  </r>
  <r>
    <s v="Aug"/>
    <x v="10"/>
    <x v="2"/>
    <n v="7430"/>
    <n v="397"/>
    <n v="340085"/>
    <n v="28.065042562888689"/>
    <n v="16643"/>
    <n v="9544500"/>
    <n v="2.2399730820995964"/>
    <n v="573.48434777383886"/>
  </r>
  <r>
    <s v="Aug"/>
    <x v="10"/>
    <x v="1"/>
    <n v="8154"/>
    <n v="1149"/>
    <n v="347090"/>
    <n v="26.003918292085629"/>
    <n v="37523"/>
    <n v="9025700.0000000019"/>
    <n v="4.6017905322541086"/>
    <n v="240.53780348053198"/>
  </r>
  <r>
    <s v="Aug"/>
    <x v="11"/>
    <x v="0"/>
    <n v="7488"/>
    <n v="568"/>
    <n v="354010"/>
    <n v="13.47730290104799"/>
    <n v="46727"/>
    <n v="4771099.9999999991"/>
    <n v="6.2402510683760681"/>
    <n v="102.10584886682216"/>
  </r>
  <r>
    <s v="Aug"/>
    <x v="11"/>
    <x v="2"/>
    <n v="5737"/>
    <n v="666"/>
    <n v="359081"/>
    <n v="4.6034181702735593"/>
    <n v="21005"/>
    <n v="1653000"/>
    <n v="3.6613212480390449"/>
    <n v="78.695548678885984"/>
  </r>
  <r>
    <s v="Aug"/>
    <x v="11"/>
    <x v="0"/>
    <n v="7525"/>
    <n v="610"/>
    <n v="365996"/>
    <n v="5.7694619613329108"/>
    <n v="53543"/>
    <n v="2111600"/>
    <n v="7.1153488372093019"/>
    <n v="39.437461479558486"/>
  </r>
  <r>
    <s v="Aug"/>
    <x v="11"/>
    <x v="2"/>
    <n v="4850"/>
    <n v="494"/>
    <n v="370352"/>
    <n v="20.46539508359615"/>
    <n v="10161"/>
    <n v="7579400.0000000009"/>
    <n v="2.0950515463917525"/>
    <n v="745.93051864973927"/>
  </r>
  <r>
    <s v="Aug"/>
    <x v="12"/>
    <x v="3"/>
    <n v="1689"/>
    <n v="176"/>
    <n v="371865"/>
    <n v="38.012181840183942"/>
    <n v="26029"/>
    <n v="14135400.000000002"/>
    <n v="15.410894020130254"/>
    <n v="543.06350608936191"/>
  </r>
  <r>
    <s v="Aug"/>
    <x v="12"/>
    <x v="1"/>
    <n v="6175"/>
    <n v="422"/>
    <n v="377618"/>
    <n v="37.86101298137271"/>
    <n v="59745"/>
    <n v="14297000"/>
    <n v="9.6753036437246962"/>
    <n v="239.30035986275001"/>
  </r>
  <r>
    <s v="Aug"/>
    <x v="12"/>
    <x v="0"/>
    <n v="9648"/>
    <n v="1417"/>
    <n v="385849"/>
    <n v="3.6633501706626168"/>
    <n v="24226"/>
    <n v="1413500"/>
    <n v="2.5109867330016584"/>
    <n v="58.346404689176914"/>
  </r>
  <r>
    <s v="Aug"/>
    <x v="12"/>
    <x v="2"/>
    <n v="6078"/>
    <n v="775"/>
    <n v="391152"/>
    <n v="37.760512537325639"/>
    <n v="38731"/>
    <n v="14770099.999999998"/>
    <n v="6.3723264231655152"/>
    <n v="381.35085590353975"/>
  </r>
  <r>
    <s v="Sep"/>
    <x v="13"/>
    <x v="0"/>
    <n v="6448"/>
    <n v="928"/>
    <n v="396672"/>
    <n v="30.118586640851881"/>
    <n v="53922"/>
    <n v="11947199.999999996"/>
    <n v="8.3625930521091814"/>
    <n v="221.56448202959825"/>
  </r>
  <r>
    <s v="Sep"/>
    <x v="13"/>
    <x v="0"/>
    <n v="2179"/>
    <n v="303"/>
    <n v="398548"/>
    <n v="33.909842729106657"/>
    <n v="54848"/>
    <n v="13514700"/>
    <n v="25.171179440110141"/>
    <n v="246.40278588098016"/>
  </r>
  <r>
    <s v="Sep"/>
    <x v="13"/>
    <x v="1"/>
    <n v="7406"/>
    <n v="813"/>
    <n v="405141"/>
    <n v="24.457411123534769"/>
    <n v="13390"/>
    <n v="9908700"/>
    <n v="1.8079935187685661"/>
    <n v="740.0074682598954"/>
  </r>
  <r>
    <s v="Sep"/>
    <x v="13"/>
    <x v="3"/>
    <n v="9591"/>
    <n v="1363"/>
    <n v="413369"/>
    <n v="10.494255737609739"/>
    <n v="15997"/>
    <n v="4338000"/>
    <n v="1.6679178396413303"/>
    <n v="271.17584547102581"/>
  </r>
  <r>
    <s v="Sep"/>
    <x v="14"/>
    <x v="0"/>
    <n v="7907"/>
    <n v="465"/>
    <n v="420811"/>
    <n v="33.257448118038738"/>
    <n v="22693"/>
    <n v="13995100"/>
    <n v="2.8699886176805363"/>
    <n v="616.71440532322742"/>
  </r>
  <r>
    <s v="Sep"/>
    <x v="14"/>
    <x v="2"/>
    <n v="9800"/>
    <n v="682"/>
    <n v="429929"/>
    <n v="6.2966210699906267"/>
    <n v="59815"/>
    <n v="2707100"/>
    <n v="6.1035714285714286"/>
    <n v="45.25787845858062"/>
  </r>
  <r>
    <s v="Sep"/>
    <x v="14"/>
    <x v="2"/>
    <n v="2638"/>
    <n v="143"/>
    <n v="432424"/>
    <n v="6.9547481175882924"/>
    <n v="52092"/>
    <n v="3007399.9999999995"/>
    <n v="19.746777862016678"/>
    <n v="57.732473316440135"/>
  </r>
  <r>
    <s v="Sep"/>
    <x v="14"/>
    <x v="3"/>
    <n v="6671"/>
    <n v="550"/>
    <n v="438545"/>
    <n v="17.750287883797562"/>
    <n v="10541"/>
    <n v="7784300.0000000019"/>
    <n v="1.5801229201019338"/>
    <n v="738.47832273977815"/>
  </r>
  <r>
    <s v="Sep"/>
    <x v="15"/>
    <x v="2"/>
    <n v="7928"/>
    <n v="704"/>
    <n v="445769"/>
    <n v="11.194362999670229"/>
    <n v="31817"/>
    <n v="4990099.9999999981"/>
    <n v="4.0132441977800202"/>
    <n v="156.83753968004521"/>
  </r>
  <r>
    <s v="Sep"/>
    <x v="15"/>
    <x v="3"/>
    <n v="2382"/>
    <n v="183"/>
    <n v="447968"/>
    <n v="4.7335970426459033"/>
    <n v="47861"/>
    <n v="2120500"/>
    <n v="20.092779177162047"/>
    <n v="44.305384342157495"/>
  </r>
  <r>
    <s v="Sep"/>
    <x v="15"/>
    <x v="2"/>
    <n v="2403"/>
    <n v="319"/>
    <n v="450052"/>
    <n v="29.92120910472568"/>
    <n v="23428"/>
    <n v="13466100.000000002"/>
    <n v="9.7494798168955477"/>
    <n v="574.78658016049178"/>
  </r>
  <r>
    <s v="Sep"/>
    <x v="15"/>
    <x v="1"/>
    <n v="4292"/>
    <n v="367"/>
    <n v="453977"/>
    <n v="3.5037017293827661"/>
    <n v="53934"/>
    <n v="1590600"/>
    <n v="12.566169617893756"/>
    <n v="29.491600845477805"/>
  </r>
  <r>
    <s v="Sep"/>
    <x v="16"/>
    <x v="0"/>
    <n v="1419"/>
    <n v="110"/>
    <n v="455286"/>
    <n v="31.554451487636339"/>
    <n v="58831"/>
    <n v="14366299.999999998"/>
    <n v="41.459478505990134"/>
    <n v="244.19608709693867"/>
  </r>
  <r>
    <s v="Sep"/>
    <x v="16"/>
    <x v="1"/>
    <n v="5517"/>
    <n v="575"/>
    <n v="460228"/>
    <n v="29.45844233727631"/>
    <n v="20258"/>
    <n v="13557600.000000002"/>
    <n v="3.6719231466376656"/>
    <n v="669.24671734623371"/>
  </r>
  <r>
    <s v="Sep"/>
    <x v="16"/>
    <x v="0"/>
    <n v="4302"/>
    <n v="275"/>
    <n v="464255"/>
    <n v="15.72131694865968"/>
    <n v="26044"/>
    <n v="7298700"/>
    <n v="6.0539284053928402"/>
    <n v="280.24497005068343"/>
  </r>
  <r>
    <s v="Sep"/>
    <x v="16"/>
    <x v="0"/>
    <n v="8857"/>
    <n v="1153"/>
    <n v="471959"/>
    <n v="19.214592793018038"/>
    <n v="39411"/>
    <n v="9068500"/>
    <n v="4.4497008016258324"/>
    <n v="230.10073329781025"/>
  </r>
  <r>
    <s v="Sep"/>
    <x v="17"/>
    <x v="0"/>
    <n v="8870"/>
    <n v="509"/>
    <n v="480320"/>
    <n v="25.077864756828781"/>
    <n v="15469"/>
    <n v="12045400"/>
    <n v="1.743968432919955"/>
    <n v="778.67994052621373"/>
  </r>
  <r>
    <s v="Sep"/>
    <x v="17"/>
    <x v="1"/>
    <n v="6693"/>
    <n v="995"/>
    <n v="486018"/>
    <n v="23.761877132122681"/>
    <n v="38854"/>
    <n v="11548700.000000002"/>
    <n v="5.805169580158374"/>
    <n v="297.23323209965514"/>
  </r>
  <r>
    <s v="Sep"/>
    <x v="17"/>
    <x v="0"/>
    <n v="1767"/>
    <n v="224"/>
    <n v="487561"/>
    <n v="13.208603641390511"/>
    <n v="16256"/>
    <n v="6439999.9999999991"/>
    <n v="9.1997736276174304"/>
    <n v="396.16141732283461"/>
  </r>
  <r>
    <s v="Sep"/>
    <x v="17"/>
    <x v="1"/>
    <n v="3044"/>
    <n v="212"/>
    <n v="490393"/>
    <n v="8.5343795690395261"/>
    <n v="20720"/>
    <n v="4185200.0000000005"/>
    <n v="6.8068331143232585"/>
    <n v="201.98841698841701"/>
  </r>
  <r>
    <s v="Oct"/>
    <x v="18"/>
    <x v="3"/>
    <n v="2549"/>
    <n v="128"/>
    <n v="492814"/>
    <n v="12.734216154573531"/>
    <n v="43937"/>
    <n v="6275600"/>
    <n v="17.23695566888976"/>
    <n v="142.83178186949496"/>
  </r>
  <r>
    <s v="Oct"/>
    <x v="18"/>
    <x v="2"/>
    <n v="7140"/>
    <n v="939"/>
    <n v="499015"/>
    <n v="25.120888149654821"/>
    <n v="43598"/>
    <n v="12535700"/>
    <n v="6.106162464985994"/>
    <n v="287.52924446075508"/>
  </r>
  <r>
    <s v="Oct"/>
    <x v="18"/>
    <x v="2"/>
    <n v="4716"/>
    <n v="569"/>
    <n v="503162"/>
    <n v="25.64820077827817"/>
    <n v="11651"/>
    <n v="12905200"/>
    <n v="2.4705258693808312"/>
    <n v="1107.6474122392929"/>
  </r>
  <r>
    <s v="Oct"/>
    <x v="18"/>
    <x v="0"/>
    <n v="5481"/>
    <n v="673"/>
    <n v="507970"/>
    <n v="13.08758391243577"/>
    <n v="29194"/>
    <n v="6648099.9999999981"/>
    <n v="5.3264002919175333"/>
    <n v="227.72144961293409"/>
  </r>
  <r>
    <s v="Oct"/>
    <x v="19"/>
    <x v="1"/>
    <n v="8898"/>
    <n v="1131"/>
    <n v="515737"/>
    <n v="2.1877429775253669"/>
    <n v="35051"/>
    <n v="1128300.0000000002"/>
    <n v="3.939199820184311"/>
    <n v="32.190237083107476"/>
  </r>
  <r>
    <s v="Oct"/>
    <x v="19"/>
    <x v="2"/>
    <n v="7548"/>
    <n v="433"/>
    <n v="522852"/>
    <n v="8.3562843787534522"/>
    <n v="37386"/>
    <n v="4369100"/>
    <n v="4.9531001589825117"/>
    <n v="116.86460172256994"/>
  </r>
  <r>
    <s v="Oct"/>
    <x v="19"/>
    <x v="1"/>
    <n v="3293"/>
    <n v="282"/>
    <n v="525863"/>
    <n v="27.040693108281051"/>
    <n v="19518"/>
    <n v="14219699.999999998"/>
    <n v="5.9271181293653203"/>
    <n v="728.54288349216097"/>
  </r>
  <r>
    <s v="Oct"/>
    <x v="19"/>
    <x v="1"/>
    <n v="5837"/>
    <n v="359"/>
    <n v="531341"/>
    <n v="6.8073045370110723"/>
    <n v="56026"/>
    <n v="3617000"/>
    <n v="9.5984238478670552"/>
    <n v="64.55931174811694"/>
  </r>
  <r>
    <s v="Oct"/>
    <x v="20"/>
    <x v="0"/>
    <n v="8758"/>
    <n v="1193"/>
    <n v="538906"/>
    <n v="3.4213758985797149"/>
    <n v="26184"/>
    <n v="1843799.9999999998"/>
    <n v="2.9897236812057546"/>
    <n v="70.417048579285051"/>
  </r>
  <r>
    <s v="Oct"/>
    <x v="20"/>
    <x v="2"/>
    <n v="7793"/>
    <n v="875"/>
    <n v="545824"/>
    <n v="5.5136820660139527"/>
    <n v="43787"/>
    <n v="3009499.9999999995"/>
    <n v="5.6187604260233543"/>
    <n v="68.730445109279003"/>
  </r>
  <r>
    <s v="Oct"/>
    <x v="20"/>
    <x v="0"/>
    <n v="8638"/>
    <n v="717"/>
    <n v="553745"/>
    <n v="26.921416897669499"/>
    <n v="31621"/>
    <n v="14907599.999999996"/>
    <n v="3.6606853438295901"/>
    <n v="471.44619082255451"/>
  </r>
  <r>
    <s v="Oct"/>
    <x v="20"/>
    <x v="0"/>
    <n v="8993"/>
    <n v="506"/>
    <n v="562232"/>
    <n v="3.5131404829323132"/>
    <n v="20028"/>
    <n v="1975200.0000000002"/>
    <n v="2.2270654953852995"/>
    <n v="98.621929298981442"/>
  </r>
  <r>
    <s v="Oct"/>
    <x v="21"/>
    <x v="2"/>
    <n v="7007"/>
    <n v="568"/>
    <n v="568671"/>
    <n v="11.50507059442103"/>
    <n v="22448"/>
    <n v="6542600.0000000009"/>
    <n v="3.2036534893677753"/>
    <n v="291.45580898075559"/>
  </r>
  <r>
    <s v="Oct"/>
    <x v="21"/>
    <x v="2"/>
    <n v="6542"/>
    <n v="539"/>
    <n v="574674"/>
    <n v="6.4069368024305948"/>
    <n v="55253"/>
    <n v="3681899.9999999995"/>
    <n v="8.4458881076123511"/>
    <n v="66.63710567751977"/>
  </r>
  <r>
    <s v="Oct"/>
    <x v="21"/>
    <x v="3"/>
    <n v="7356"/>
    <n v="904"/>
    <n v="581126"/>
    <n v="17.560907617280929"/>
    <n v="44051"/>
    <n v="10205099.999999996"/>
    <n v="5.9884448069603042"/>
    <n v="231.66556945358781"/>
  </r>
  <r>
    <s v="Oct"/>
    <x v="21"/>
    <x v="3"/>
    <n v="9433"/>
    <n v="1073"/>
    <n v="589486"/>
    <n v="7.2934726185185053"/>
    <n v="59811"/>
    <n v="4299400"/>
    <n v="6.3406127424997347"/>
    <n v="71.883098426710802"/>
  </r>
  <r>
    <s v="Nov"/>
    <x v="22"/>
    <x v="1"/>
    <n v="8380"/>
    <n v="1162"/>
    <n v="596704"/>
    <n v="18.05853488496809"/>
    <n v="40447"/>
    <n v="10775599.999999998"/>
    <n v="4.8266109785202866"/>
    <n v="266.41283655153654"/>
  </r>
  <r>
    <s v="Nov"/>
    <x v="22"/>
    <x v="2"/>
    <n v="3385"/>
    <n v="329"/>
    <n v="599760"/>
    <n v="17.61788048552755"/>
    <n v="28394"/>
    <n v="10566500.000000004"/>
    <n v="8.3881831610044308"/>
    <n v="372.13847996055517"/>
  </r>
  <r>
    <s v="Nov"/>
    <x v="22"/>
    <x v="3"/>
    <n v="5268"/>
    <n v="326"/>
    <n v="604702"/>
    <n v="23.435841125050029"/>
    <n v="44501"/>
    <n v="14171700.000000002"/>
    <n v="8.4474183750949123"/>
    <n v="318.45801217950162"/>
  </r>
  <r>
    <s v="Nov"/>
    <x v="22"/>
    <x v="1"/>
    <n v="1671"/>
    <n v="202"/>
    <n v="606171"/>
    <n v="15.150015424690389"/>
    <n v="40254"/>
    <n v="9183499.9999999981"/>
    <n v="24.089766606822263"/>
    <n v="228.13881850250903"/>
  </r>
  <r>
    <s v="Nov"/>
    <x v="23"/>
    <x v="1"/>
    <n v="1163"/>
    <n v="146"/>
    <n v="607188"/>
    <n v="21.77776899411715"/>
    <n v="28509"/>
    <n v="13223200.000000004"/>
    <n v="24.513327601031815"/>
    <n v="463.82545862710032"/>
  </r>
  <r>
    <s v="Nov"/>
    <x v="23"/>
    <x v="1"/>
    <n v="9656"/>
    <n v="1024"/>
    <n v="615820"/>
    <n v="8.7252768666168681"/>
    <n v="58998"/>
    <n v="5373200"/>
    <n v="6.1099834299917148"/>
    <n v="91.074273704193359"/>
  </r>
  <r>
    <s v="Nov"/>
    <x v="23"/>
    <x v="3"/>
    <n v="5592"/>
    <n v="710"/>
    <n v="620702"/>
    <n v="9.07118069540617"/>
    <n v="24472"/>
    <n v="5630500.0000000009"/>
    <n v="4.3762517882689558"/>
    <n v="230.07927427263814"/>
  </r>
  <r>
    <s v="Nov"/>
    <x v="23"/>
    <x v="2"/>
    <n v="5795"/>
    <n v="575"/>
    <n v="625922"/>
    <n v="3.0908004511744269"/>
    <n v="55657"/>
    <n v="1934599.9999999995"/>
    <n v="9.604314063848145"/>
    <n v="34.759329464398"/>
  </r>
  <r>
    <s v="Nov"/>
    <x v="24"/>
    <x v="0"/>
    <n v="5798"/>
    <n v="592"/>
    <n v="631128"/>
    <n v="1.6774727155188811"/>
    <n v="13471"/>
    <n v="1058700.0000000005"/>
    <n v="2.3233873749568819"/>
    <n v="78.591047435231275"/>
  </r>
  <r>
    <s v="Nov"/>
    <x v="24"/>
    <x v="1"/>
    <n v="7036"/>
    <n v="652"/>
    <n v="637512"/>
    <n v="3.5705994553828009"/>
    <n v="51796"/>
    <n v="2276300"/>
    <n v="7.3615690733371233"/>
    <n v="43.947409066337165"/>
  </r>
  <r>
    <s v="Nov"/>
    <x v="24"/>
    <x v="3"/>
    <n v="3355"/>
    <n v="176"/>
    <n v="640691"/>
    <n v="12.426427091999111"/>
    <n v="40268"/>
    <n v="7961500.0000000028"/>
    <n v="12.002384500745157"/>
    <n v="197.71282407867295"/>
  </r>
  <r>
    <s v="Nov"/>
    <x v="24"/>
    <x v="3"/>
    <n v="6887"/>
    <n v="418"/>
    <n v="647160"/>
    <n v="20.240280610668151"/>
    <n v="18329"/>
    <n v="13098700"/>
    <n v="2.6613910265718022"/>
    <n v="714.64346118173387"/>
  </r>
  <r>
    <s v="Nov"/>
    <x v="25"/>
    <x v="0"/>
    <n v="8961"/>
    <n v="476"/>
    <n v="655645"/>
    <n v="15.458517947974901"/>
    <n v="44865"/>
    <n v="10135300.000000004"/>
    <n v="5.0066956812855707"/>
    <n v="225.90660871503408"/>
  </r>
  <r>
    <s v="Nov"/>
    <x v="25"/>
    <x v="0"/>
    <n v="6827"/>
    <n v="775"/>
    <n v="661697"/>
    <n v="15.96622018839439"/>
    <n v="56850"/>
    <n v="10564800.000000002"/>
    <n v="8.3272301157170059"/>
    <n v="185.83641160949873"/>
  </r>
  <r>
    <s v="Nov"/>
    <x v="25"/>
    <x v="3"/>
    <n v="9737"/>
    <n v="792"/>
    <n v="670642"/>
    <n v="5.301785453341723"/>
    <n v="56698"/>
    <n v="3555600"/>
    <n v="5.8229434117284589"/>
    <n v="62.711206744505979"/>
  </r>
  <r>
    <s v="Nov"/>
    <x v="25"/>
    <x v="2"/>
    <n v="5719"/>
    <n v="576"/>
    <n v="675785"/>
    <n v="10.21656296011305"/>
    <n v="38272"/>
    <n v="6904199.9999999972"/>
    <n v="6.6920790347962926"/>
    <n v="180.39820234113705"/>
  </r>
  <r>
    <s v="Dec"/>
    <x v="26"/>
    <x v="0"/>
    <n v="1593"/>
    <n v="224"/>
    <n v="677154"/>
    <n v="4.1495730660972248"/>
    <n v="52845"/>
    <n v="2809900"/>
    <n v="33.173258003766477"/>
    <n v="53.17248557100956"/>
  </r>
  <r>
    <s v="Dec"/>
    <x v="26"/>
    <x v="3"/>
    <n v="5839"/>
    <n v="437"/>
    <n v="682556"/>
    <n v="17.44750613869045"/>
    <n v="16397"/>
    <n v="11908899.999999998"/>
    <n v="2.8081863332762458"/>
    <n v="726.28529609074815"/>
  </r>
  <r>
    <s v="Dec"/>
    <x v="26"/>
    <x v="0"/>
    <n v="8394"/>
    <n v="764"/>
    <n v="690186"/>
    <n v="6.3556780346167558"/>
    <n v="42373"/>
    <n v="4386600"/>
    <n v="5.0480104836788184"/>
    <n v="103.52347013428363"/>
  </r>
  <r>
    <s v="Dec"/>
    <x v="26"/>
    <x v="2"/>
    <n v="4493"/>
    <n v="564"/>
    <n v="694115"/>
    <n v="16.625487131094989"/>
    <n v="45525"/>
    <n v="11539999.999999998"/>
    <n v="10.132428221678166"/>
    <n v="253.48709500274569"/>
  </r>
  <r>
    <s v="Dec"/>
    <x v="27"/>
    <x v="1"/>
    <n v="7164"/>
    <n v="522"/>
    <n v="700757"/>
    <n v="13.449169969047761"/>
    <n v="34570"/>
    <n v="9424600.0000000019"/>
    <n v="4.8255164712451144"/>
    <n v="272.62366213479902"/>
  </r>
  <r>
    <s v="Dec"/>
    <x v="27"/>
    <x v="0"/>
    <n v="3672"/>
    <n v="211"/>
    <n v="704218"/>
    <n v="12.35057894004413"/>
    <n v="28284"/>
    <n v="8697499.9999999981"/>
    <n v="7.7026143790849675"/>
    <n v="307.50601046528067"/>
  </r>
  <r>
    <s v="Dec"/>
    <x v="27"/>
    <x v="2"/>
    <n v="5200"/>
    <n v="410"/>
    <n v="709008"/>
    <n v="12.913394489201821"/>
    <n v="28994"/>
    <n v="9155700.0000000037"/>
    <n v="5.5757692307692306"/>
    <n v="315.77912671587239"/>
  </r>
  <r>
    <s v="Dec"/>
    <x v="27"/>
    <x v="3"/>
    <n v="1016"/>
    <n v="67"/>
    <n v="709957"/>
    <n v="20.774215903216671"/>
    <n v="33284"/>
    <n v="14748799.999999998"/>
    <n v="32.759842519685037"/>
    <n v="443.11981732964784"/>
  </r>
  <r>
    <s v="Dec"/>
    <x v="28"/>
    <x v="0"/>
    <n v="4191"/>
    <n v="599"/>
    <n v="713549"/>
    <n v="11.56416728213479"/>
    <n v="27833"/>
    <n v="8251599.9999999972"/>
    <n v="6.6411357671200193"/>
    <n v="296.46822117630143"/>
  </r>
  <r>
    <s v="Dec"/>
    <x v="28"/>
    <x v="0"/>
    <n v="1392"/>
    <n v="182"/>
    <n v="714759"/>
    <n v="5.9603306848881932"/>
    <n v="35122"/>
    <n v="4260200"/>
    <n v="25.231321839080461"/>
    <n v="121.29719264278799"/>
  </r>
  <r>
    <s v="Dec"/>
    <x v="28"/>
    <x v="3"/>
    <n v="9616"/>
    <n v="1089"/>
    <n v="723286"/>
    <n v="19.25863351426683"/>
    <n v="15017"/>
    <n v="13929499.999999998"/>
    <n v="1.5616680532445923"/>
    <n v="927.58207364986333"/>
  </r>
  <r>
    <s v="Dec"/>
    <x v="28"/>
    <x v="1"/>
    <n v="7272"/>
    <n v="997"/>
    <n v="729561"/>
    <n v="13.428486445958599"/>
    <n v="26370"/>
    <n v="9796900.0000000019"/>
    <n v="3.6262376237623761"/>
    <n v="371.51687523701185"/>
  </r>
  <r>
    <s v="Dec"/>
    <x v="29"/>
    <x v="3"/>
    <n v="1571"/>
    <n v="204"/>
    <n v="730928"/>
    <n v="19.449384891535139"/>
    <n v="39252"/>
    <n v="14216099.999999996"/>
    <n v="24.985359643539148"/>
    <n v="362.17517578722095"/>
  </r>
  <r>
    <s v="Dec"/>
    <x v="29"/>
    <x v="0"/>
    <n v="4631"/>
    <n v="317"/>
    <n v="735242"/>
    <n v="1.381177897889402"/>
    <n v="17999"/>
    <n v="1015499.9999999998"/>
    <n v="3.8866335564672858"/>
    <n v="56.4198011000611"/>
  </r>
  <r>
    <s v="Dec"/>
    <x v="29"/>
    <x v="3"/>
    <n v="7172"/>
    <n v="998"/>
    <n v="741416"/>
    <n v="18.0667803230575"/>
    <n v="32436"/>
    <n v="13395000"/>
    <n v="4.5225878416062466"/>
    <n v="412.96707362190159"/>
  </r>
  <r>
    <s v="Dec"/>
    <x v="29"/>
    <x v="2"/>
    <n v="8177"/>
    <n v="849"/>
    <n v="748744"/>
    <n v="10.34986590877523"/>
    <n v="52963"/>
    <n v="7749400.0000000009"/>
    <n v="6.4770698300110068"/>
    <n v="146.3172403375942"/>
  </r>
  <r>
    <s v="Dec"/>
    <x v="30"/>
    <x v="3"/>
    <n v="9433"/>
    <n v="1233"/>
    <n v="756944"/>
    <n v="11.391727789638329"/>
    <n v="12096"/>
    <n v="8622899.9999999963"/>
    <n v="1.28230679529312"/>
    <n v="712.87202380952351"/>
  </r>
  <r>
    <s v="Dec"/>
    <x v="30"/>
    <x v="0"/>
    <n v="4897"/>
    <n v="683"/>
    <n v="761158"/>
    <n v="15.06231294947961"/>
    <n v="58201"/>
    <n v="11464800.000000002"/>
    <n v="11.885031652031856"/>
    <n v="196.9863060772152"/>
  </r>
  <r>
    <s v="Dec"/>
    <x v="30"/>
    <x v="3"/>
    <n v="9123"/>
    <n v="746"/>
    <n v="769535"/>
    <n v="6.3086149427901264"/>
    <n v="35279"/>
    <n v="4854700"/>
    <n v="3.86703935109065"/>
    <n v="137.60877575895009"/>
  </r>
  <r>
    <s v="Dec"/>
    <x v="30"/>
    <x v="1"/>
    <n v="3279"/>
    <n v="200"/>
    <n v="772614"/>
    <n v="5.0212654702089274"/>
    <n v="53363"/>
    <n v="3879500.0000000005"/>
    <n v="16.274168953949374"/>
    <n v="72.700185521803505"/>
  </r>
  <r>
    <s v="Jan"/>
    <x v="31"/>
    <x v="3"/>
    <n v="9980"/>
    <n v="726"/>
    <n v="781868"/>
    <n v="4.0220344099003924"/>
    <n v="58709"/>
    <n v="3144700"/>
    <n v="5.8826653306613226"/>
    <n v="53.564189476911544"/>
  </r>
  <r>
    <s v="Jan"/>
    <x v="31"/>
    <x v="1"/>
    <n v="8451"/>
    <n v="783"/>
    <n v="789536"/>
    <n v="12.407287318121019"/>
    <n v="36201"/>
    <n v="9795999.9999999981"/>
    <n v="4.2836350727724533"/>
    <n v="270.60025966133526"/>
  </r>
  <r>
    <s v="Jan"/>
    <x v="31"/>
    <x v="2"/>
    <n v="9906"/>
    <n v="1305"/>
    <n v="798137"/>
    <n v="9.1811305577864442"/>
    <n v="29715"/>
    <n v="7327799.9999999991"/>
    <n v="2.9996971532404602"/>
    <n v="246.60272589601209"/>
  </r>
  <r>
    <s v="Jan"/>
    <x v="31"/>
    <x v="1"/>
    <n v="1775"/>
    <n v="241"/>
    <n v="799671"/>
    <n v="8.1379717408784362"/>
    <n v="39309"/>
    <n v="6507700"/>
    <n v="22.145915492957748"/>
    <n v="165.55241802131826"/>
  </r>
  <r>
    <s v="Jan"/>
    <x v="32"/>
    <x v="3"/>
    <n v="7869"/>
    <n v="398"/>
    <n v="807142"/>
    <n v="15.211945357818079"/>
    <n v="25078"/>
    <n v="12278200"/>
    <n v="3.1869360782818656"/>
    <n v="489.60044660658747"/>
  </r>
  <r>
    <s v="Jan"/>
    <x v="32"/>
    <x v="0"/>
    <n v="3247"/>
    <n v="328"/>
    <n v="810061"/>
    <n v="13.941172331466399"/>
    <n v="15105"/>
    <n v="11293200.000000002"/>
    <n v="4.6519864490298737"/>
    <n v="747.64647467725933"/>
  </r>
  <r>
    <s v="Jan"/>
    <x v="32"/>
    <x v="1"/>
    <n v="8088"/>
    <n v="742"/>
    <n v="817407"/>
    <n v="14.664542877660701"/>
    <n v="39312"/>
    <n v="11986900"/>
    <n v="4.8605341246290799"/>
    <n v="304.91707366707368"/>
  </r>
  <r>
    <s v="Jan"/>
    <x v="32"/>
    <x v="2"/>
    <n v="1078"/>
    <n v="77"/>
    <n v="818408"/>
    <n v="18.236747441373989"/>
    <n v="12839"/>
    <n v="14925100.000000004"/>
    <n v="11.910018552875696"/>
    <n v="1162.4815016745856"/>
  </r>
  <r>
    <s v="Jan"/>
    <x v="33"/>
    <x v="1"/>
    <n v="9080"/>
    <n v="562"/>
    <n v="826926"/>
    <n v="7.1083748727213809"/>
    <n v="13384"/>
    <n v="5878100.0000000009"/>
    <n v="1.4740088105726872"/>
    <n v="439.18858338314413"/>
  </r>
  <r>
    <s v="Jan"/>
    <x v="33"/>
    <x v="1"/>
    <n v="8099"/>
    <n v="678"/>
    <n v="834347"/>
    <n v="7.6464588474579518"/>
    <n v="53619"/>
    <n v="6379800"/>
    <n v="6.6204469687615752"/>
    <n v="118.98394225927376"/>
  </r>
  <r>
    <s v="Jan"/>
    <x v="33"/>
    <x v="1"/>
    <n v="4926"/>
    <n v="710"/>
    <n v="838563"/>
    <n v="12.96217457722318"/>
    <n v="52821"/>
    <n v="10869600.000000002"/>
    <n v="10.722898903775883"/>
    <n v="205.78179133299258"/>
  </r>
  <r>
    <s v="Jan"/>
    <x v="33"/>
    <x v="2"/>
    <n v="8340"/>
    <n v="686"/>
    <n v="846217"/>
    <n v="7.201344336027284"/>
    <n v="23493"/>
    <n v="6093900"/>
    <n v="2.816906474820144"/>
    <n v="259.39215936661986"/>
  </r>
  <r>
    <s v="Jan"/>
    <x v="34"/>
    <x v="3"/>
    <n v="8083"/>
    <n v="823"/>
    <n v="853477"/>
    <n v="4.6300017457998282"/>
    <n v="27069"/>
    <n v="3951600"/>
    <n v="3.3488803662006679"/>
    <n v="145.98248919428127"/>
  </r>
  <r>
    <s v="Jan"/>
    <x v="34"/>
    <x v="1"/>
    <n v="7230"/>
    <n v="869"/>
    <n v="859838"/>
    <n v="7.0117859410726204"/>
    <n v="56907"/>
    <n v="6029000"/>
    <n v="7.8709543568464726"/>
    <n v="105.94478710879153"/>
  </r>
  <r>
    <s v="Jan"/>
    <x v="34"/>
    <x v="1"/>
    <n v="5940"/>
    <n v="512"/>
    <n v="865266"/>
    <n v="15.7972230504839"/>
    <n v="17531"/>
    <n v="13668800.000000002"/>
    <n v="2.9513468013468014"/>
    <n v="779.69311505333417"/>
  </r>
  <r>
    <s v="Jan"/>
    <x v="34"/>
    <x v="0"/>
    <n v="4271"/>
    <n v="628"/>
    <n v="868909"/>
    <n v="11.124410036033691"/>
    <n v="47051"/>
    <n v="9666099.9999999981"/>
    <n v="11.016389604308124"/>
    <n v="205.43877919704147"/>
  </r>
  <r>
    <s v="Feb"/>
    <x v="35"/>
    <x v="2"/>
    <n v="4456"/>
    <n v="651"/>
    <n v="872714"/>
    <n v="9.5052903929580594"/>
    <n v="17736"/>
    <n v="8295400"/>
    <n v="3.9802513464991023"/>
    <n v="467.71538114569239"/>
  </r>
  <r>
    <s v="Feb"/>
    <x v="35"/>
    <x v="1"/>
    <n v="8788"/>
    <n v="660"/>
    <n v="880842"/>
    <n v="3.7175793161543158"/>
    <n v="17710"/>
    <n v="3274600"/>
    <n v="2.0152480655439233"/>
    <n v="184.901185770751"/>
  </r>
  <r>
    <s v="Feb"/>
    <x v="35"/>
    <x v="2"/>
    <n v="9599"/>
    <n v="957"/>
    <n v="889484"/>
    <n v="8.768004820772493"/>
    <n v="11619"/>
    <n v="7799000"/>
    <n v="1.2104385873528491"/>
    <n v="671.22816077115067"/>
  </r>
  <r>
    <s v="Feb"/>
    <x v="35"/>
    <x v="1"/>
    <n v="8650"/>
    <n v="692"/>
    <n v="897442"/>
    <n v="7.6673478620345374"/>
    <n v="23975"/>
    <n v="6880999.9999999991"/>
    <n v="2.7716763005780347"/>
    <n v="287.00729927007296"/>
  </r>
  <r>
    <s v="Feb"/>
    <x v="36"/>
    <x v="3"/>
    <n v="3711"/>
    <n v="291"/>
    <n v="900862"/>
    <n v="14.24879726306582"/>
    <n v="55603"/>
    <n v="12836200"/>
    <n v="14.983292912961465"/>
    <n v="230.85445029944427"/>
  </r>
  <r>
    <s v="Feb"/>
    <x v="36"/>
    <x v="3"/>
    <n v="2668"/>
    <n v="143"/>
    <n v="903387"/>
    <n v="15.903372530266649"/>
    <n v="33252"/>
    <n v="14366899.999999998"/>
    <n v="12.463268365817092"/>
    <n v="432.06122939973528"/>
  </r>
  <r>
    <s v="Feb"/>
    <x v="36"/>
    <x v="1"/>
    <n v="1147"/>
    <n v="127"/>
    <n v="904407"/>
    <n v="1.3997016829812241"/>
    <n v="25261"/>
    <n v="1265900"/>
    <n v="22.023539668700959"/>
    <n v="50.112822136890863"/>
  </r>
  <r>
    <s v="Feb"/>
    <x v="36"/>
    <x v="3"/>
    <n v="7420"/>
    <n v="743"/>
    <n v="911084"/>
    <n v="10.593534734448189"/>
    <n v="11431"/>
    <n v="9651599.9999999944"/>
    <n v="1.540566037735849"/>
    <n v="844.33557868952801"/>
  </r>
  <r>
    <s v="Feb"/>
    <x v="37"/>
    <x v="1"/>
    <n v="1365"/>
    <n v="75"/>
    <n v="912374"/>
    <n v="9.2688963078737441"/>
    <n v="19067"/>
    <n v="8456700"/>
    <n v="13.968498168498169"/>
    <n v="443.52546284155869"/>
  </r>
  <r>
    <s v="Feb"/>
    <x v="37"/>
    <x v="3"/>
    <n v="5531"/>
    <n v="430"/>
    <n v="917475"/>
    <n v="2.7289026948963189"/>
    <n v="47481"/>
    <n v="2503700"/>
    <n v="8.5845235942867468"/>
    <n v="52.730565910574754"/>
  </r>
  <r>
    <s v="Feb"/>
    <x v="37"/>
    <x v="0"/>
    <n v="6330"/>
    <n v="891"/>
    <n v="922914"/>
    <n v="14.789893749580139"/>
    <n v="37037"/>
    <n v="13649800.000000006"/>
    <n v="5.851026856240126"/>
    <n v="368.5449685449687"/>
  </r>
  <r>
    <s v="Feb"/>
    <x v="37"/>
    <x v="0"/>
    <n v="6510"/>
    <n v="481"/>
    <n v="928943"/>
    <n v="2.3800168578696428"/>
    <n v="19557"/>
    <n v="2210899.9999999995"/>
    <n v="3.004147465437788"/>
    <n v="113.04903615073884"/>
  </r>
  <r>
    <s v="Feb"/>
    <x v="38"/>
    <x v="0"/>
    <n v="9754"/>
    <n v="629"/>
    <n v="938068"/>
    <n v="3.4123325814333292"/>
    <n v="19435"/>
    <n v="3201000.0000000005"/>
    <n v="1.992515890916547"/>
    <n v="164.70285567275536"/>
  </r>
  <r>
    <s v="Feb"/>
    <x v="38"/>
    <x v="2"/>
    <n v="9964"/>
    <n v="985"/>
    <n v="947047"/>
    <n v="1.9837452629066989"/>
    <n v="47766"/>
    <n v="1878700.0000000005"/>
    <n v="4.7938578883982332"/>
    <n v="39.33132353556924"/>
  </r>
  <r>
    <s v="Feb"/>
    <x v="38"/>
    <x v="2"/>
    <n v="7493"/>
    <n v="1113"/>
    <n v="953427"/>
    <n v="15.684892498324469"/>
    <n v="10162"/>
    <n v="14954400.000000004"/>
    <n v="1.3561991191778995"/>
    <n v="1471.6000787246608"/>
  </r>
  <r>
    <s v="Feb"/>
    <x v="38"/>
    <x v="0"/>
    <n v="6439"/>
    <n v="477"/>
    <n v="959389"/>
    <n v="7.4744446725989153"/>
    <n v="44742"/>
    <n v="7170900.0000000009"/>
    <n v="6.9485945022519022"/>
    <n v="160.27222743730724"/>
  </r>
  <r>
    <s v="Mar"/>
    <x v="39"/>
    <x v="2"/>
    <n v="7511"/>
    <n v="880"/>
    <n v="966020"/>
    <n v="4.6083932009689246"/>
    <n v="29675"/>
    <n v="4451800.0000000009"/>
    <n v="3.9508720543203304"/>
    <n v="150.01853411962935"/>
  </r>
  <r>
    <s v="Mar"/>
    <x v="39"/>
    <x v="3"/>
    <n v="8504"/>
    <n v="1072"/>
    <n v="973452"/>
    <n v="6.5651927367759271"/>
    <n v="18461"/>
    <n v="6390900"/>
    <n v="2.1708607714016934"/>
    <n v="346.1838470288717"/>
  </r>
  <r>
    <s v="Mar"/>
    <x v="39"/>
    <x v="1"/>
    <n v="2246"/>
    <n v="165"/>
    <n v="975533"/>
    <n v="2.9062061457685191"/>
    <n v="27015"/>
    <n v="2835100.0000000009"/>
    <n v="12.028049866429207"/>
    <n v="104.94540070331301"/>
  </r>
  <r>
    <s v="Mar"/>
    <x v="39"/>
    <x v="1"/>
    <n v="4839"/>
    <n v="594"/>
    <n v="979778"/>
    <n v="2.5803804535313102"/>
    <n v="42591"/>
    <n v="2528200"/>
    <n v="8.8016119032858029"/>
    <n v="59.359958676715735"/>
  </r>
  <r>
    <s v="Mar"/>
    <x v="40"/>
    <x v="1"/>
    <n v="9551"/>
    <n v="828"/>
    <n v="988501"/>
    <n v="1.525036393488727"/>
    <n v="38047"/>
    <n v="1507500.0000000002"/>
    <n v="3.9835619306878862"/>
    <n v="39.622046416274614"/>
  </r>
  <r>
    <s v="Mar"/>
    <x v="40"/>
    <x v="0"/>
    <n v="3376"/>
    <n v="382"/>
    <n v="991495"/>
    <n v="3.8694093263203548"/>
    <n v="44782"/>
    <n v="3836500"/>
    <n v="13.264810426540285"/>
    <n v="85.670581930239834"/>
  </r>
  <r>
    <s v="Mar"/>
    <x v="40"/>
    <x v="2"/>
    <n v="4009"/>
    <n v="454"/>
    <n v="995050"/>
    <n v="2.1106477061454201"/>
    <n v="19833"/>
    <n v="2100200.0000000005"/>
    <n v="4.9471189822898483"/>
    <n v="105.89421670952456"/>
  </r>
  <r>
    <s v="Mar"/>
    <x v="40"/>
    <x v="3"/>
    <n v="2827"/>
    <n v="292"/>
    <n v="997585"/>
    <n v="2.4004972007397871"/>
    <n v="17896"/>
    <n v="2394700.0000000005"/>
    <n v="6.3303855677396532"/>
    <n v="133.81202503352708"/>
  </r>
  <r>
    <s v="Mar"/>
    <x v="41"/>
    <x v="3"/>
    <n v="7979"/>
    <n v="470"/>
    <n v="1005094"/>
    <n v="10.43086517280971"/>
    <n v="42972"/>
    <n v="10484000.000000004"/>
    <n v="5.3856372979070057"/>
    <n v="243.97281951037894"/>
  </r>
  <r>
    <s v="Mar"/>
    <x v="41"/>
    <x v="0"/>
    <n v="9569"/>
    <n v="1277"/>
    <n v="1013386"/>
    <n v="12.45517502708741"/>
    <n v="59733"/>
    <n v="12621900.000000002"/>
    <n v="6.2423450726303686"/>
    <n v="211.30530862337403"/>
  </r>
  <r>
    <s v="Mar"/>
    <x v="41"/>
    <x v="3"/>
    <n v="5285"/>
    <n v="433"/>
    <n v="1018238"/>
    <n v="8.7022876773406619"/>
    <n v="51800"/>
    <n v="8861000"/>
    <n v="9.8013245033112586"/>
    <n v="171.06177606177607"/>
  </r>
  <r>
    <s v="Mar"/>
    <x v="41"/>
    <x v="3"/>
    <n v="7910"/>
    <n v="543"/>
    <n v="1025605"/>
    <n v="6.0590578244060822"/>
    <n v="40508"/>
    <n v="6214200"/>
    <n v="5.121112515802781"/>
    <n v="153.40673447220303"/>
  </r>
  <r>
    <s v="Mar"/>
    <x v="42"/>
    <x v="3"/>
    <n v="9561"/>
    <n v="517"/>
    <n v="1034649"/>
    <n v="6.4086467971263694"/>
    <n v="15347"/>
    <n v="6630700.0000000009"/>
    <n v="1.6051668235540215"/>
    <n v="432.05186681436118"/>
  </r>
  <r>
    <s v="Mar"/>
    <x v="42"/>
    <x v="3"/>
    <n v="3196"/>
    <n v="348"/>
    <n v="1037497"/>
    <n v="14.03040201562029"/>
    <n v="40314"/>
    <n v="14556500.000000004"/>
    <n v="12.61389236545682"/>
    <n v="361.07803740636018"/>
  </r>
  <r>
    <s v="Mar"/>
    <x v="42"/>
    <x v="2"/>
    <n v="4747"/>
    <n v="558"/>
    <n v="1041686"/>
    <n v="5.7680529449373434"/>
    <n v="12643"/>
    <n v="6008500.0000000019"/>
    <n v="2.6633663366336635"/>
    <n v="475.24321759076184"/>
  </r>
  <r>
    <s v="Mar"/>
    <x v="42"/>
    <x v="3"/>
    <n v="9843"/>
    <n v="508"/>
    <n v="1051021"/>
    <n v="4.2080986012648651"/>
    <n v="50785"/>
    <n v="4422800"/>
    <n v="5.1595042161942501"/>
    <n v="87.088707295461262"/>
  </r>
  <r>
    <s v="Mar"/>
    <x v="43"/>
    <x v="1"/>
    <n v="6978"/>
    <n v="706"/>
    <n v="1057293"/>
    <n v="5.057443868445171"/>
    <n v="28681"/>
    <n v="5347200"/>
    <n v="4.1102034967039263"/>
    <n v="186.43701405111398"/>
  </r>
  <r>
    <s v="Mar"/>
    <x v="43"/>
    <x v="0"/>
    <n v="6607"/>
    <n v="479"/>
    <n v="1063421"/>
    <n v="5.5892257158735816"/>
    <n v="48328"/>
    <n v="5943700"/>
    <n v="7.3146662630543364"/>
    <n v="122.986674391657"/>
  </r>
  <r>
    <s v="Mar"/>
    <x v="43"/>
    <x v="2"/>
    <n v="1769"/>
    <n v="202"/>
    <n v="1064988"/>
    <n v="6.5457075572682513"/>
    <n v="25892"/>
    <n v="6971100"/>
    <n v="14.636517806670435"/>
    <n v="269.23760234821566"/>
  </r>
  <r>
    <s v="Mar"/>
    <x v="43"/>
    <x v="3"/>
    <n v="1780"/>
    <n v="120"/>
    <n v="1066648"/>
    <n v="13.86474263299608"/>
    <n v="57299"/>
    <n v="14788800.000000004"/>
    <n v="32.190449438202251"/>
    <n v="258.09874517879899"/>
  </r>
  <r>
    <s v="Apr"/>
    <x v="44"/>
    <x v="2"/>
    <n v="7303"/>
    <n v="869"/>
    <n v="1073082"/>
    <n v="8.1237966902808925"/>
    <n v="27073"/>
    <n v="8717500"/>
    <n v="3.7071066684924006"/>
    <n v="321.99977837698077"/>
  </r>
  <r>
    <s v="Apr"/>
    <x v="44"/>
    <x v="3"/>
    <n v="4983"/>
    <n v="441"/>
    <n v="1077624"/>
    <n v="6.8954477628560609"/>
    <n v="46768"/>
    <n v="7430700"/>
    <n v="9.3855107365041146"/>
    <n v="158.88427984946972"/>
  </r>
  <r>
    <s v="Apr"/>
    <x v="44"/>
    <x v="1"/>
    <n v="9714"/>
    <n v="1395"/>
    <n v="1085943"/>
    <n v="5.2243073531483697"/>
    <n v="40682"/>
    <n v="5673300"/>
    <n v="4.1879761169446157"/>
    <n v="139.45479573275651"/>
  </r>
  <r>
    <s v="Apr"/>
    <x v="44"/>
    <x v="0"/>
    <n v="1521"/>
    <n v="96"/>
    <n v="1087368"/>
    <n v="12.709772588488899"/>
    <n v="42262"/>
    <n v="13820199.999999998"/>
    <n v="27.785667324128863"/>
    <n v="327.01244616913533"/>
  </r>
  <r>
    <s v="Apr"/>
    <x v="45"/>
    <x v="3"/>
    <n v="8569"/>
    <n v="720"/>
    <n v="1095217"/>
    <n v="9.589697749395782"/>
    <n v="41358"/>
    <n v="10502800"/>
    <n v="4.8264674991247523"/>
    <n v="253.94845011847769"/>
  </r>
  <r>
    <s v="Apr"/>
    <x v="45"/>
    <x v="3"/>
    <n v="6784"/>
    <n v="416"/>
    <n v="1101585"/>
    <n v="9.3041390360253633"/>
    <n v="24289"/>
    <n v="10249300"/>
    <n v="3.5803360849056602"/>
    <n v="421.9729095475318"/>
  </r>
  <r>
    <s v="Apr"/>
    <x v="45"/>
    <x v="3"/>
    <n v="5583"/>
    <n v="795"/>
    <n v="1106373"/>
    <n v="12.21550055903389"/>
    <n v="59823"/>
    <n v="13514900.000000002"/>
    <n v="10.715206878022569"/>
    <n v="225.91478194005654"/>
  </r>
  <r>
    <s v="Apr"/>
    <x v="45"/>
    <x v="3"/>
    <n v="6946"/>
    <n v="956"/>
    <n v="1112363"/>
    <n v="1.64146056637986"/>
    <n v="17927"/>
    <n v="1825900.0000000002"/>
    <n v="2.580909876187734"/>
    <n v="101.85195515144756"/>
  </r>
  <r>
    <s v="Apr"/>
    <x v="46"/>
    <x v="0"/>
    <n v="5941"/>
    <n v="450"/>
    <n v="1117854"/>
    <n v="12.414411899944"/>
    <n v="58330"/>
    <n v="13877500"/>
    <n v="9.8182124221511522"/>
    <n v="237.91359506257501"/>
  </r>
  <r>
    <s v="Apr"/>
    <x v="46"/>
    <x v="0"/>
    <n v="7267"/>
    <n v="842"/>
    <n v="1124279"/>
    <n v="2.2102165031989389"/>
    <n v="11171"/>
    <n v="2484900"/>
    <n v="1.5372230631622403"/>
    <n v="222.44203741831529"/>
  </r>
  <r>
    <s v="Apr"/>
    <x v="46"/>
    <x v="1"/>
    <n v="8128"/>
    <n v="1070"/>
    <n v="1131337"/>
    <n v="8.1114645768679008"/>
    <n v="21918"/>
    <n v="9176800"/>
    <n v="2.6966043307086616"/>
    <n v="418.68783648143079"/>
  </r>
  <r>
    <s v="Apr"/>
    <x v="46"/>
    <x v="0"/>
    <n v="3461"/>
    <n v="365"/>
    <n v="1134433"/>
    <n v="10.23489267325616"/>
    <n v="51903"/>
    <n v="11610800.000000006"/>
    <n v="14.996532793990177"/>
    <n v="223.70190547752549"/>
  </r>
  <r>
    <s v="Apr"/>
    <x v="47"/>
    <x v="3"/>
    <n v="1685"/>
    <n v="173"/>
    <n v="1135945"/>
    <n v="8.7776256772995165"/>
    <n v="49110"/>
    <n v="9970900"/>
    <n v="29.145400593471809"/>
    <n v="203.0319690490735"/>
  </r>
  <r>
    <s v="Apr"/>
    <x v="47"/>
    <x v="1"/>
    <n v="3160"/>
    <n v="234"/>
    <n v="1138871"/>
    <n v="5.6959041015180816"/>
    <n v="21929"/>
    <n v="6486899.9999999991"/>
    <n v="6.9395569620253168"/>
    <n v="295.81376259747361"/>
  </r>
  <r>
    <s v="Apr"/>
    <x v="47"/>
    <x v="1"/>
    <n v="8031"/>
    <n v="476"/>
    <n v="1146426"/>
    <n v="11.940413075069831"/>
    <n v="12539"/>
    <n v="13688800.000000006"/>
    <n v="1.5613248661436931"/>
    <n v="1091.697902544063"/>
  </r>
  <r>
    <s v="Apr"/>
    <x v="47"/>
    <x v="1"/>
    <n v="6341"/>
    <n v="885"/>
    <n v="1151882"/>
    <n v="6.3457020771224837"/>
    <n v="46727"/>
    <n v="7309500.0000000009"/>
    <n v="7.3690269673553068"/>
    <n v="156.42990134183665"/>
  </r>
  <r>
    <s v="May"/>
    <x v="48"/>
    <x v="3"/>
    <n v="1038"/>
    <n v="145"/>
    <n v="1152775"/>
    <n v="11.093752033137431"/>
    <n v="55951"/>
    <n v="12788600.000000002"/>
    <n v="53.902697495183041"/>
    <n v="228.56785401512042"/>
  </r>
  <r>
    <s v="May"/>
    <x v="48"/>
    <x v="2"/>
    <n v="5875"/>
    <n v="665"/>
    <n v="1157985"/>
    <n v="6.9871371390821126"/>
    <n v="32669"/>
    <n v="8091000"/>
    <n v="5.5606808510638297"/>
    <n v="247.66598304202762"/>
  </r>
  <r>
    <s v="May"/>
    <x v="48"/>
    <x v="3"/>
    <n v="2256"/>
    <n v="189"/>
    <n v="1160052"/>
    <n v="2.8935771844710412"/>
    <n v="15432"/>
    <n v="3356700.0000000005"/>
    <n v="6.8404255319148932"/>
    <n v="217.51555209953347"/>
  </r>
  <r>
    <s v="May"/>
    <x v="48"/>
    <x v="0"/>
    <n v="8697"/>
    <n v="738"/>
    <n v="1168011"/>
    <n v="3.8777032065622672"/>
    <n v="30644"/>
    <n v="4529200"/>
    <n v="3.5235138553524203"/>
    <n v="147.80054823130141"/>
  </r>
  <r>
    <s v="May"/>
    <x v="49"/>
    <x v="0"/>
    <n v="3196"/>
    <n v="391"/>
    <n v="1170816"/>
    <n v="7.2439221876024931"/>
    <n v="28745"/>
    <n v="8481300"/>
    <n v="8.9940550688360457"/>
    <n v="295.05305270481824"/>
  </r>
  <r>
    <s v="May"/>
    <x v="49"/>
    <x v="3"/>
    <n v="8165"/>
    <n v="1140"/>
    <n v="1177841"/>
    <n v="9.095964565675672"/>
    <n v="38228"/>
    <n v="10713600"/>
    <n v="4.6819350887936313"/>
    <n v="280.25531024380035"/>
  </r>
  <r>
    <s v="May"/>
    <x v="49"/>
    <x v="3"/>
    <n v="1301"/>
    <n v="180"/>
    <n v="1178962"/>
    <n v="5.2275645864752214"/>
    <n v="44521"/>
    <n v="6163100"/>
    <n v="34.220599538816295"/>
    <n v="138.43130208216348"/>
  </r>
  <r>
    <s v="May"/>
    <x v="49"/>
    <x v="1"/>
    <n v="8527"/>
    <n v="1091"/>
    <n v="1186398"/>
    <n v="1.676081719625286"/>
    <n v="41703"/>
    <n v="1988500"/>
    <n v="4.8907001290019938"/>
    <n v="47.68242092894995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s v="Jun"/>
    <x v="0"/>
    <x v="0"/>
    <n v="4138"/>
    <n v="361"/>
    <n v="103777"/>
    <n v="56.637790647253247"/>
    <n v="23944"/>
    <n v="5877700"/>
    <n v="5.7863702271628803"/>
    <n v="245.47694620781823"/>
    <n v="3777"/>
  </r>
  <r>
    <s v="Jun"/>
    <x v="0"/>
    <x v="1"/>
    <n v="8693"/>
    <n v="1261"/>
    <n v="111209"/>
    <n v="69.475492091467416"/>
    <n v="29873"/>
    <n v="7726300"/>
    <n v="3.4364431151501207"/>
    <n v="258.63823519566165"/>
    <n v="7432"/>
  </r>
  <r>
    <s v="Jun"/>
    <x v="0"/>
    <x v="2"/>
    <n v="9264"/>
    <n v="1141"/>
    <n v="119332"/>
    <n v="92.312204605638044"/>
    <n v="50372"/>
    <n v="11015800"/>
    <n v="5.4373920552677033"/>
    <n v="218.68895418089414"/>
    <n v="8123"/>
  </r>
  <r>
    <s v="Jun"/>
    <x v="0"/>
    <x v="2"/>
    <n v="8842"/>
    <n v="971"/>
    <n v="127203"/>
    <n v="16.351815601833291"/>
    <n v="33928"/>
    <n v="2080000"/>
    <n v="3.8371409183442662"/>
    <n v="61.306295684979958"/>
    <n v="7871"/>
  </r>
  <r>
    <s v="Jun"/>
    <x v="1"/>
    <x v="0"/>
    <n v="7721"/>
    <n v="506"/>
    <n v="134418"/>
    <n v="35.577824398518047"/>
    <n v="25379"/>
    <n v="4782299.9999999991"/>
    <n v="3.2870094547338429"/>
    <n v="188.43532054060441"/>
    <n v="7215"/>
  </r>
  <r>
    <s v="Jun"/>
    <x v="1"/>
    <x v="2"/>
    <n v="8002"/>
    <n v="524"/>
    <n v="141896"/>
    <n v="52.064892597395271"/>
    <n v="46751"/>
    <n v="7387799.9999999991"/>
    <n v="5.8424143964008994"/>
    <n v="158.02442728497783"/>
    <n v="7478"/>
  </r>
  <r>
    <s v="Jun"/>
    <x v="1"/>
    <x v="1"/>
    <n v="5225"/>
    <n v="291"/>
    <n v="146830"/>
    <n v="19.551862698358651"/>
    <n v="44546"/>
    <n v="2870800.0000000005"/>
    <n v="8.52555023923445"/>
    <n v="64.445741480716578"/>
    <n v="4934"/>
  </r>
  <r>
    <s v="Jun"/>
    <x v="1"/>
    <x v="1"/>
    <n v="3978"/>
    <n v="543"/>
    <n v="150265"/>
    <n v="49.159817655475329"/>
    <n v="34286"/>
    <n v="7387000"/>
    <n v="8.6189039718451479"/>
    <n v="215.45237123023975"/>
    <n v="3435"/>
  </r>
  <r>
    <s v="Jun"/>
    <x v="2"/>
    <x v="0"/>
    <n v="8373"/>
    <n v="921"/>
    <n v="157717"/>
    <n v="12.2263294381709"/>
    <n v="15110"/>
    <n v="1928299.9999999998"/>
    <n v="1.8046100561328078"/>
    <n v="127.61747187293182"/>
    <n v="7452"/>
  </r>
  <r>
    <s v="Jun"/>
    <x v="2"/>
    <x v="1"/>
    <n v="6907"/>
    <n v="834"/>
    <n v="163790"/>
    <n v="54.158984064961238"/>
    <n v="22087"/>
    <n v="8870700.0000000019"/>
    <n v="3.1977703778775157"/>
    <n v="401.62539050119989"/>
    <n v="6073"/>
  </r>
  <r>
    <s v="Jun"/>
    <x v="2"/>
    <x v="3"/>
    <n v="7097"/>
    <n v="369"/>
    <n v="170518"/>
    <n v="9.2506362964613711"/>
    <n v="33762"/>
    <n v="1577400"/>
    <n v="4.7572213611385088"/>
    <n v="46.721165807712815"/>
    <n v="6728"/>
  </r>
  <r>
    <s v="Jun"/>
    <x v="2"/>
    <x v="0"/>
    <n v="6656"/>
    <n v="978"/>
    <n v="176196"/>
    <n v="60.425889350496043"/>
    <n v="27081"/>
    <n v="10646800"/>
    <n v="4.0686598557692308"/>
    <n v="393.14648646652637"/>
    <n v="5678"/>
  </r>
  <r>
    <s v="Jun"/>
    <x v="3"/>
    <x v="1"/>
    <n v="9984"/>
    <n v="1330"/>
    <n v="184850"/>
    <n v="57.524479307546663"/>
    <n v="44947"/>
    <n v="10633400"/>
    <n v="4.5019030448717947"/>
    <n v="236.57641221883551"/>
    <n v="8654"/>
  </r>
  <r>
    <s v="Jun"/>
    <x v="3"/>
    <x v="0"/>
    <n v="5259"/>
    <n v="374"/>
    <n v="189735"/>
    <n v="14.827522597306769"/>
    <n v="19596"/>
    <n v="2813300"/>
    <n v="3.7261836851112378"/>
    <n v="143.56501326801387"/>
    <n v="4885"/>
  </r>
  <r>
    <s v="Jun"/>
    <x v="3"/>
    <x v="2"/>
    <n v="9286"/>
    <n v="633"/>
    <n v="198388"/>
    <n v="5.4343004617214756"/>
    <n v="48019"/>
    <n v="1078100"/>
    <n v="5.1711178117596379"/>
    <n v="22.451529602865531"/>
    <n v="8653"/>
  </r>
  <r>
    <s v="Jun"/>
    <x v="3"/>
    <x v="1"/>
    <n v="6901"/>
    <n v="471"/>
    <n v="204818"/>
    <n v="60.827661631301943"/>
    <n v="52003"/>
    <n v="12458600.000000002"/>
    <n v="7.5355745544124044"/>
    <n v="239.57463992461976"/>
    <n v="6430"/>
  </r>
  <r>
    <s v="Jul"/>
    <x v="4"/>
    <x v="3"/>
    <n v="5917"/>
    <n v="475"/>
    <n v="210260"/>
    <n v="17.894035955483691"/>
    <n v="28313"/>
    <n v="3762400.0000000009"/>
    <n v="4.7850261957072844"/>
    <n v="132.88595344894574"/>
    <n v="5442"/>
  </r>
  <r>
    <s v="Jul"/>
    <x v="4"/>
    <x v="1"/>
    <n v="9429"/>
    <n v="966"/>
    <n v="218723"/>
    <n v="7.6914636320825887"/>
    <n v="57639"/>
    <n v="1682300"/>
    <n v="6.1129494113903915"/>
    <n v="29.186835302486163"/>
    <n v="8463"/>
  </r>
  <r>
    <s v="Jul"/>
    <x v="4"/>
    <x v="0"/>
    <n v="3530"/>
    <n v="328"/>
    <n v="221925"/>
    <n v="12.8372197814577"/>
    <n v="11013"/>
    <n v="2848900"/>
    <n v="3.1198300283286118"/>
    <n v="258.68519022972851"/>
    <n v="3202"/>
  </r>
  <r>
    <s v="Jul"/>
    <x v="4"/>
    <x v="0"/>
    <n v="2960"/>
    <n v="234"/>
    <n v="224651"/>
    <n v="17.41278694508371"/>
    <n v="59378"/>
    <n v="3911800.0000000005"/>
    <n v="20.060135135135134"/>
    <n v="65.879618714001822"/>
    <n v="2726"/>
  </r>
  <r>
    <s v="Jul"/>
    <x v="5"/>
    <x v="1"/>
    <n v="8045"/>
    <n v="894"/>
    <n v="231802"/>
    <n v="47.634187798207087"/>
    <n v="33705"/>
    <n v="11041700"/>
    <n v="4.1895587321317587"/>
    <n v="327.59827918706424"/>
    <n v="7151"/>
  </r>
  <r>
    <s v="Jul"/>
    <x v="5"/>
    <x v="3"/>
    <n v="2048"/>
    <n v="130"/>
    <n v="233720"/>
    <n v="39.284614068115687"/>
    <n v="11828"/>
    <n v="9181599.9999999981"/>
    <n v="5.775390625"/>
    <n v="776.25972269191732"/>
    <n v="1918"/>
  </r>
  <r>
    <s v="Jul"/>
    <x v="5"/>
    <x v="3"/>
    <n v="6772"/>
    <n v="536"/>
    <n v="239956"/>
    <n v="9.8205504342462788"/>
    <n v="17909"/>
    <n v="2356500"/>
    <n v="2.6445658594211459"/>
    <n v="131.58188620246804"/>
    <n v="6236"/>
  </r>
  <r>
    <s v="Jul"/>
    <x v="5"/>
    <x v="3"/>
    <n v="3529"/>
    <n v="305"/>
    <n v="243180"/>
    <n v="41.606628834608109"/>
    <n v="48356"/>
    <n v="10117900"/>
    <n v="13.702465287616889"/>
    <n v="209.23773678550748"/>
    <n v="3224"/>
  </r>
  <r>
    <s v="Jul"/>
    <x v="6"/>
    <x v="0"/>
    <n v="3964"/>
    <n v="378"/>
    <n v="246766"/>
    <n v="13.6355899921383"/>
    <n v="23109"/>
    <n v="3364799.9999999995"/>
    <n v="5.8297174571140262"/>
    <n v="145.6056082045956"/>
    <n v="3586"/>
  </r>
  <r>
    <s v="Jul"/>
    <x v="6"/>
    <x v="1"/>
    <n v="8137"/>
    <n v="1045"/>
    <n v="253858"/>
    <n v="20.47246886054408"/>
    <n v="12023"/>
    <n v="5197099.9999999991"/>
    <n v="1.4775715865798205"/>
    <n v="432.26316227231132"/>
    <n v="7092"/>
  </r>
  <r>
    <s v="Jul"/>
    <x v="6"/>
    <x v="2"/>
    <n v="1963"/>
    <n v="137"/>
    <n v="255684"/>
    <n v="11.2083665774941"/>
    <n v="24537"/>
    <n v="2865800.0000000014"/>
    <n v="12.499745287824759"/>
    <n v="116.79504421893472"/>
    <n v="1826"/>
  </r>
  <r>
    <s v="Jul"/>
    <x v="6"/>
    <x v="0"/>
    <n v="1536"/>
    <n v="155"/>
    <n v="257065"/>
    <n v="12.15762550327738"/>
    <n v="36661"/>
    <n v="3125299.9999999995"/>
    <n v="23.867838541666668"/>
    <n v="85.24862933362428"/>
    <n v="1381"/>
  </r>
  <r>
    <s v="Jul"/>
    <x v="7"/>
    <x v="3"/>
    <n v="8340"/>
    <n v="911"/>
    <n v="264494"/>
    <n v="37.302925586213682"/>
    <n v="48659"/>
    <n v="9866400.0000000019"/>
    <n v="5.834412470023981"/>
    <n v="202.76618919418817"/>
    <n v="7429"/>
  </r>
  <r>
    <s v="Jul"/>
    <x v="7"/>
    <x v="1"/>
    <n v="8179"/>
    <n v="446"/>
    <n v="272227"/>
    <n v="41.82171496581897"/>
    <n v="43848"/>
    <n v="11385000"/>
    <n v="5.3610465827118228"/>
    <n v="259.64696223316912"/>
    <n v="7733"/>
  </r>
  <r>
    <s v="Jul"/>
    <x v="7"/>
    <x v="3"/>
    <n v="8967"/>
    <n v="993"/>
    <n v="280201"/>
    <n v="52.792102811910027"/>
    <n v="47804"/>
    <n v="14792400.000000002"/>
    <n v="5.331102932976469"/>
    <n v="309.43854070789058"/>
    <n v="7974"/>
  </r>
  <r>
    <s v="Jul"/>
    <x v="7"/>
    <x v="2"/>
    <n v="9734"/>
    <n v="652"/>
    <n v="289283"/>
    <n v="49.647922622483861"/>
    <n v="25379"/>
    <n v="14362299.999999998"/>
    <n v="2.6072529278816519"/>
    <n v="565.91276252019384"/>
    <n v="9082"/>
  </r>
  <r>
    <s v="Jul"/>
    <x v="8"/>
    <x v="3"/>
    <n v="1845"/>
    <n v="104"/>
    <n v="291024"/>
    <n v="28.158158777282971"/>
    <n v="37766"/>
    <n v="8194699.9999999991"/>
    <n v="20.469376693766936"/>
    <n v="216.98617804374302"/>
    <n v="1741"/>
  </r>
  <r>
    <s v="Jul"/>
    <x v="8"/>
    <x v="3"/>
    <n v="6777"/>
    <n v="981"/>
    <n v="296820"/>
    <n v="23.920557913887201"/>
    <n v="53590"/>
    <n v="7100099.9999999991"/>
    <n v="7.9076287442821309"/>
    <n v="132.48927038626607"/>
    <n v="5796"/>
  </r>
  <r>
    <s v="Jul"/>
    <x v="8"/>
    <x v="2"/>
    <n v="4036"/>
    <n v="591"/>
    <n v="300265"/>
    <n v="44.219272975538267"/>
    <n v="12563"/>
    <n v="13277499.999999998"/>
    <n v="3.1127353815659067"/>
    <n v="1056.8733582742973"/>
    <n v="3445"/>
  </r>
  <r>
    <s v="Jul"/>
    <x v="8"/>
    <x v="1"/>
    <n v="6947"/>
    <n v="908"/>
    <n v="306304"/>
    <n v="14.117673944839121"/>
    <n v="46060"/>
    <n v="4324300.0000000019"/>
    <n v="6.6302000863682169"/>
    <n v="93.884064264003513"/>
    <n v="6039"/>
  </r>
  <r>
    <s v="Aug"/>
    <x v="9"/>
    <x v="0"/>
    <n v="3494"/>
    <n v="281"/>
    <n v="309517"/>
    <n v="27.765518533715429"/>
    <n v="39197"/>
    <n v="8593899.9999999981"/>
    <n v="11.218374356038924"/>
    <n v="219.24892211138604"/>
    <n v="3213"/>
  </r>
  <r>
    <s v="Aug"/>
    <x v="9"/>
    <x v="1"/>
    <n v="3719"/>
    <n v="222"/>
    <n v="313014"/>
    <n v="21.669318305251519"/>
    <n v="13586"/>
    <n v="6782799.9999999991"/>
    <n v="3.6531325625168054"/>
    <n v="499.24922714559096"/>
    <n v="3497"/>
  </r>
  <r>
    <s v="Aug"/>
    <x v="9"/>
    <x v="2"/>
    <n v="2884"/>
    <n v="341"/>
    <n v="315557"/>
    <n v="46.999749649033298"/>
    <n v="26087"/>
    <n v="14831100"/>
    <n v="9.0454230235783637"/>
    <n v="568.52455245907925"/>
    <n v="2543"/>
  </r>
  <r>
    <s v="Aug"/>
    <x v="9"/>
    <x v="3"/>
    <n v="5349"/>
    <n v="502"/>
    <n v="320404"/>
    <n v="5.2152906954969351"/>
    <n v="58868"/>
    <n v="1671000"/>
    <n v="11.005421574126006"/>
    <n v="28.385540531358291"/>
    <n v="4847"/>
  </r>
  <r>
    <s v="Aug"/>
    <x v="10"/>
    <x v="1"/>
    <n v="6179"/>
    <n v="384"/>
    <n v="326199"/>
    <n v="14.71218489327067"/>
    <n v="33225"/>
    <n v="4799099.9999999991"/>
    <n v="5.3770836704968445"/>
    <n v="144.44243792325054"/>
    <n v="5795"/>
  </r>
  <r>
    <s v="Aug"/>
    <x v="10"/>
    <x v="0"/>
    <n v="7610"/>
    <n v="757"/>
    <n v="333052"/>
    <n v="44.450416151231643"/>
    <n v="39750"/>
    <n v="14804300.000000002"/>
    <n v="5.2233902759526938"/>
    <n v="372.4352201257862"/>
    <n v="6853"/>
  </r>
  <r>
    <s v="Aug"/>
    <x v="10"/>
    <x v="2"/>
    <n v="7430"/>
    <n v="397"/>
    <n v="340085"/>
    <n v="28.065042562888689"/>
    <n v="16643"/>
    <n v="9544500"/>
    <n v="2.2399730820995964"/>
    <n v="573.48434777383886"/>
    <n v="7033"/>
  </r>
  <r>
    <s v="Aug"/>
    <x v="10"/>
    <x v="1"/>
    <n v="8154"/>
    <n v="1149"/>
    <n v="347090"/>
    <n v="26.003918292085629"/>
    <n v="37523"/>
    <n v="9025700.0000000019"/>
    <n v="4.6017905322541086"/>
    <n v="240.53780348053198"/>
    <n v="7005"/>
  </r>
  <r>
    <s v="Aug"/>
    <x v="11"/>
    <x v="0"/>
    <n v="7488"/>
    <n v="568"/>
    <n v="354010"/>
    <n v="13.47730290104799"/>
    <n v="46727"/>
    <n v="4771099.9999999991"/>
    <n v="6.2402510683760681"/>
    <n v="102.10584886682216"/>
    <n v="6920"/>
  </r>
  <r>
    <s v="Aug"/>
    <x v="11"/>
    <x v="2"/>
    <n v="5737"/>
    <n v="666"/>
    <n v="359081"/>
    <n v="4.6034181702735593"/>
    <n v="21005"/>
    <n v="1653000"/>
    <n v="3.6613212480390449"/>
    <n v="78.695548678885984"/>
    <n v="5071"/>
  </r>
  <r>
    <s v="Aug"/>
    <x v="11"/>
    <x v="0"/>
    <n v="7525"/>
    <n v="610"/>
    <n v="365996"/>
    <n v="5.7694619613329108"/>
    <n v="53543"/>
    <n v="2111600"/>
    <n v="7.1153488372093019"/>
    <n v="39.437461479558486"/>
    <n v="6915"/>
  </r>
  <r>
    <s v="Aug"/>
    <x v="11"/>
    <x v="2"/>
    <n v="4850"/>
    <n v="494"/>
    <n v="370352"/>
    <n v="20.46539508359615"/>
    <n v="10161"/>
    <n v="7579400.0000000009"/>
    <n v="2.0950515463917525"/>
    <n v="745.93051864973927"/>
    <n v="4356"/>
  </r>
  <r>
    <s v="Aug"/>
    <x v="12"/>
    <x v="3"/>
    <n v="1689"/>
    <n v="176"/>
    <n v="371865"/>
    <n v="38.012181840183942"/>
    <n v="26029"/>
    <n v="14135400.000000002"/>
    <n v="15.410894020130254"/>
    <n v="543.06350608936191"/>
    <n v="1513"/>
  </r>
  <r>
    <s v="Aug"/>
    <x v="12"/>
    <x v="1"/>
    <n v="6175"/>
    <n v="422"/>
    <n v="377618"/>
    <n v="37.86101298137271"/>
    <n v="59745"/>
    <n v="14297000"/>
    <n v="9.6753036437246962"/>
    <n v="239.30035986275001"/>
    <n v="5753"/>
  </r>
  <r>
    <s v="Aug"/>
    <x v="12"/>
    <x v="0"/>
    <n v="9648"/>
    <n v="1417"/>
    <n v="385849"/>
    <n v="3.6633501706626168"/>
    <n v="24226"/>
    <n v="1413500"/>
    <n v="2.5109867330016584"/>
    <n v="58.346404689176914"/>
    <n v="8231"/>
  </r>
  <r>
    <s v="Aug"/>
    <x v="12"/>
    <x v="2"/>
    <n v="6078"/>
    <n v="775"/>
    <n v="391152"/>
    <n v="37.760512537325639"/>
    <n v="38731"/>
    <n v="14770099.999999998"/>
    <n v="6.3723264231655152"/>
    <n v="381.35085590353975"/>
    <n v="5303"/>
  </r>
  <r>
    <s v="Sep"/>
    <x v="13"/>
    <x v="0"/>
    <n v="6448"/>
    <n v="928"/>
    <n v="396672"/>
    <n v="30.118586640851881"/>
    <n v="53922"/>
    <n v="11947199.999999996"/>
    <n v="8.3625930521091814"/>
    <n v="221.56448202959825"/>
    <n v="5520"/>
  </r>
  <r>
    <s v="Sep"/>
    <x v="13"/>
    <x v="0"/>
    <n v="2179"/>
    <n v="303"/>
    <n v="398548"/>
    <n v="33.909842729106657"/>
    <n v="54848"/>
    <n v="13514700"/>
    <n v="25.171179440110141"/>
    <n v="246.40278588098016"/>
    <n v="1876"/>
  </r>
  <r>
    <s v="Sep"/>
    <x v="13"/>
    <x v="1"/>
    <n v="7406"/>
    <n v="813"/>
    <n v="405141"/>
    <n v="24.457411123534769"/>
    <n v="13390"/>
    <n v="9908700"/>
    <n v="1.8079935187685661"/>
    <n v="740.0074682598954"/>
    <n v="6593"/>
  </r>
  <r>
    <s v="Sep"/>
    <x v="13"/>
    <x v="3"/>
    <n v="9591"/>
    <n v="1363"/>
    <n v="413369"/>
    <n v="10.494255737609739"/>
    <n v="15997"/>
    <n v="4338000"/>
    <n v="1.6679178396413303"/>
    <n v="271.17584547102581"/>
    <n v="8228"/>
  </r>
  <r>
    <s v="Sep"/>
    <x v="14"/>
    <x v="0"/>
    <n v="7907"/>
    <n v="465"/>
    <n v="420811"/>
    <n v="33.257448118038738"/>
    <n v="22693"/>
    <n v="13995100"/>
    <n v="2.8699886176805363"/>
    <n v="616.71440532322742"/>
    <n v="7442"/>
  </r>
  <r>
    <s v="Sep"/>
    <x v="14"/>
    <x v="2"/>
    <n v="9800"/>
    <n v="682"/>
    <n v="429929"/>
    <n v="6.2966210699906267"/>
    <n v="59815"/>
    <n v="2707100"/>
    <n v="6.1035714285714286"/>
    <n v="45.25787845858062"/>
    <n v="9118"/>
  </r>
  <r>
    <s v="Sep"/>
    <x v="14"/>
    <x v="2"/>
    <n v="2638"/>
    <n v="143"/>
    <n v="432424"/>
    <n v="6.9547481175882924"/>
    <n v="52092"/>
    <n v="3007399.9999999995"/>
    <n v="19.746777862016678"/>
    <n v="57.732473316440135"/>
    <n v="2495"/>
  </r>
  <r>
    <s v="Sep"/>
    <x v="14"/>
    <x v="3"/>
    <n v="6671"/>
    <n v="550"/>
    <n v="438545"/>
    <n v="17.750287883797562"/>
    <n v="10541"/>
    <n v="7784300.0000000019"/>
    <n v="1.5801229201019338"/>
    <n v="738.47832273977815"/>
    <n v="6121"/>
  </r>
  <r>
    <s v="Sep"/>
    <x v="15"/>
    <x v="2"/>
    <n v="7928"/>
    <n v="704"/>
    <n v="445769"/>
    <n v="11.194362999670229"/>
    <n v="31817"/>
    <n v="4990099.9999999981"/>
    <n v="4.0132441977800202"/>
    <n v="156.83753968004521"/>
    <n v="7224"/>
  </r>
  <r>
    <s v="Sep"/>
    <x v="15"/>
    <x v="3"/>
    <n v="2382"/>
    <n v="183"/>
    <n v="447968"/>
    <n v="4.7335970426459033"/>
    <n v="47861"/>
    <n v="2120500"/>
    <n v="20.092779177162047"/>
    <n v="44.305384342157495"/>
    <n v="2199"/>
  </r>
  <r>
    <s v="Sep"/>
    <x v="15"/>
    <x v="2"/>
    <n v="2403"/>
    <n v="319"/>
    <n v="450052"/>
    <n v="29.92120910472568"/>
    <n v="23428"/>
    <n v="13466100.000000002"/>
    <n v="9.7494798168955477"/>
    <n v="574.78658016049178"/>
    <n v="2084"/>
  </r>
  <r>
    <s v="Sep"/>
    <x v="15"/>
    <x v="1"/>
    <n v="4292"/>
    <n v="367"/>
    <n v="453977"/>
    <n v="3.5037017293827661"/>
    <n v="53934"/>
    <n v="1590600"/>
    <n v="12.566169617893756"/>
    <n v="29.491600845477805"/>
    <n v="3925"/>
  </r>
  <r>
    <s v="Sep"/>
    <x v="16"/>
    <x v="0"/>
    <n v="1419"/>
    <n v="110"/>
    <n v="455286"/>
    <n v="31.554451487636339"/>
    <n v="58831"/>
    <n v="14366299.999999998"/>
    <n v="41.459478505990134"/>
    <n v="244.19608709693867"/>
    <n v="1309"/>
  </r>
  <r>
    <s v="Sep"/>
    <x v="16"/>
    <x v="1"/>
    <n v="5517"/>
    <n v="575"/>
    <n v="460228"/>
    <n v="29.45844233727631"/>
    <n v="20258"/>
    <n v="13557600.000000002"/>
    <n v="3.6719231466376656"/>
    <n v="669.24671734623371"/>
    <n v="4942"/>
  </r>
  <r>
    <s v="Sep"/>
    <x v="16"/>
    <x v="0"/>
    <n v="4302"/>
    <n v="275"/>
    <n v="464255"/>
    <n v="15.72131694865968"/>
    <n v="26044"/>
    <n v="7298700"/>
    <n v="6.0539284053928402"/>
    <n v="280.24497005068343"/>
    <n v="4027"/>
  </r>
  <r>
    <s v="Sep"/>
    <x v="16"/>
    <x v="0"/>
    <n v="8857"/>
    <n v="1153"/>
    <n v="471959"/>
    <n v="19.214592793018038"/>
    <n v="39411"/>
    <n v="9068500"/>
    <n v="4.4497008016258324"/>
    <n v="230.10073329781025"/>
    <n v="7704"/>
  </r>
  <r>
    <s v="Sep"/>
    <x v="17"/>
    <x v="0"/>
    <n v="8870"/>
    <n v="509"/>
    <n v="480320"/>
    <n v="25.077864756828781"/>
    <n v="15469"/>
    <n v="12045400"/>
    <n v="1.743968432919955"/>
    <n v="778.67994052621373"/>
    <n v="8361"/>
  </r>
  <r>
    <s v="Sep"/>
    <x v="17"/>
    <x v="1"/>
    <n v="6693"/>
    <n v="995"/>
    <n v="486018"/>
    <n v="23.761877132122681"/>
    <n v="38854"/>
    <n v="11548700.000000002"/>
    <n v="5.805169580158374"/>
    <n v="297.23323209965514"/>
    <n v="5698"/>
  </r>
  <r>
    <s v="Sep"/>
    <x v="17"/>
    <x v="0"/>
    <n v="1767"/>
    <n v="224"/>
    <n v="487561"/>
    <n v="13.208603641390511"/>
    <n v="16256"/>
    <n v="6439999.9999999991"/>
    <n v="9.1997736276174304"/>
    <n v="396.16141732283461"/>
    <n v="1543"/>
  </r>
  <r>
    <s v="Sep"/>
    <x v="17"/>
    <x v="1"/>
    <n v="3044"/>
    <n v="212"/>
    <n v="490393"/>
    <n v="8.5343795690395261"/>
    <n v="20720"/>
    <n v="4185200.0000000005"/>
    <n v="6.8068331143232585"/>
    <n v="201.98841698841701"/>
    <n v="2832"/>
  </r>
  <r>
    <s v="Oct"/>
    <x v="18"/>
    <x v="3"/>
    <n v="2549"/>
    <n v="128"/>
    <n v="492814"/>
    <n v="12.734216154573531"/>
    <n v="43937"/>
    <n v="6275600"/>
    <n v="17.23695566888976"/>
    <n v="142.83178186949496"/>
    <n v="2421"/>
  </r>
  <r>
    <s v="Oct"/>
    <x v="18"/>
    <x v="2"/>
    <n v="7140"/>
    <n v="939"/>
    <n v="499015"/>
    <n v="25.120888149654821"/>
    <n v="43598"/>
    <n v="12535700"/>
    <n v="6.106162464985994"/>
    <n v="287.52924446075508"/>
    <n v="6201"/>
  </r>
  <r>
    <s v="Oct"/>
    <x v="18"/>
    <x v="2"/>
    <n v="4716"/>
    <n v="569"/>
    <n v="503162"/>
    <n v="25.64820077827817"/>
    <n v="11651"/>
    <n v="12905200"/>
    <n v="2.4705258693808312"/>
    <n v="1107.6474122392929"/>
    <n v="4147"/>
  </r>
  <r>
    <s v="Oct"/>
    <x v="18"/>
    <x v="0"/>
    <n v="5481"/>
    <n v="673"/>
    <n v="507970"/>
    <n v="13.08758391243577"/>
    <n v="29194"/>
    <n v="6648099.9999999981"/>
    <n v="5.3264002919175333"/>
    <n v="227.72144961293409"/>
    <n v="4808"/>
  </r>
  <r>
    <s v="Oct"/>
    <x v="19"/>
    <x v="1"/>
    <n v="8898"/>
    <n v="1131"/>
    <n v="515737"/>
    <n v="2.1877429775253669"/>
    <n v="35051"/>
    <n v="1128300.0000000002"/>
    <n v="3.939199820184311"/>
    <n v="32.190237083107476"/>
    <n v="7767"/>
  </r>
  <r>
    <s v="Oct"/>
    <x v="19"/>
    <x v="2"/>
    <n v="7548"/>
    <n v="433"/>
    <n v="522852"/>
    <n v="8.3562843787534522"/>
    <n v="37386"/>
    <n v="4369100"/>
    <n v="4.9531001589825117"/>
    <n v="116.86460172256994"/>
    <n v="7115"/>
  </r>
  <r>
    <s v="Oct"/>
    <x v="19"/>
    <x v="1"/>
    <n v="3293"/>
    <n v="282"/>
    <n v="525863"/>
    <n v="27.040693108281051"/>
    <n v="19518"/>
    <n v="14219699.999999998"/>
    <n v="5.9271181293653203"/>
    <n v="728.54288349216097"/>
    <n v="3011"/>
  </r>
  <r>
    <s v="Oct"/>
    <x v="19"/>
    <x v="1"/>
    <n v="5837"/>
    <n v="359"/>
    <n v="531341"/>
    <n v="6.8073045370110723"/>
    <n v="56026"/>
    <n v="3617000"/>
    <n v="9.5984238478670552"/>
    <n v="64.55931174811694"/>
    <n v="5478"/>
  </r>
  <r>
    <s v="Oct"/>
    <x v="20"/>
    <x v="0"/>
    <n v="8758"/>
    <n v="1193"/>
    <n v="538906"/>
    <n v="3.4213758985797149"/>
    <n v="26184"/>
    <n v="1843799.9999999998"/>
    <n v="2.9897236812057546"/>
    <n v="70.417048579285051"/>
    <n v="7565"/>
  </r>
  <r>
    <s v="Oct"/>
    <x v="20"/>
    <x v="2"/>
    <n v="7793"/>
    <n v="875"/>
    <n v="545824"/>
    <n v="5.5136820660139527"/>
    <n v="43787"/>
    <n v="3009499.9999999995"/>
    <n v="5.6187604260233543"/>
    <n v="68.730445109279003"/>
    <n v="6918"/>
  </r>
  <r>
    <s v="Oct"/>
    <x v="20"/>
    <x v="0"/>
    <n v="8638"/>
    <n v="717"/>
    <n v="553745"/>
    <n v="26.921416897669499"/>
    <n v="31621"/>
    <n v="14907599.999999996"/>
    <n v="3.6606853438295901"/>
    <n v="471.44619082255451"/>
    <n v="7921"/>
  </r>
  <r>
    <s v="Oct"/>
    <x v="20"/>
    <x v="0"/>
    <n v="8993"/>
    <n v="506"/>
    <n v="562232"/>
    <n v="3.5131404829323132"/>
    <n v="20028"/>
    <n v="1975200.0000000002"/>
    <n v="2.2270654953852995"/>
    <n v="98.621929298981442"/>
    <n v="8487"/>
  </r>
  <r>
    <s v="Oct"/>
    <x v="21"/>
    <x v="2"/>
    <n v="7007"/>
    <n v="568"/>
    <n v="568671"/>
    <n v="11.50507059442103"/>
    <n v="22448"/>
    <n v="6542600.0000000009"/>
    <n v="3.2036534893677753"/>
    <n v="291.45580898075559"/>
    <n v="6439"/>
  </r>
  <r>
    <s v="Oct"/>
    <x v="21"/>
    <x v="2"/>
    <n v="6542"/>
    <n v="539"/>
    <n v="574674"/>
    <n v="6.4069368024305948"/>
    <n v="55253"/>
    <n v="3681899.9999999995"/>
    <n v="8.4458881076123511"/>
    <n v="66.63710567751977"/>
    <n v="6003"/>
  </r>
  <r>
    <s v="Oct"/>
    <x v="21"/>
    <x v="3"/>
    <n v="7356"/>
    <n v="904"/>
    <n v="581126"/>
    <n v="17.560907617280929"/>
    <n v="44051"/>
    <n v="10205099.999999996"/>
    <n v="5.9884448069603042"/>
    <n v="231.66556945358781"/>
    <n v="6452"/>
  </r>
  <r>
    <s v="Oct"/>
    <x v="21"/>
    <x v="3"/>
    <n v="9433"/>
    <n v="1073"/>
    <n v="589486"/>
    <n v="7.2934726185185053"/>
    <n v="59811"/>
    <n v="4299400"/>
    <n v="6.3406127424997347"/>
    <n v="71.883098426710802"/>
    <n v="8360"/>
  </r>
  <r>
    <s v="Nov"/>
    <x v="22"/>
    <x v="1"/>
    <n v="8380"/>
    <n v="1162"/>
    <n v="596704"/>
    <n v="18.05853488496809"/>
    <n v="40447"/>
    <n v="10775599.999999998"/>
    <n v="4.8266109785202866"/>
    <n v="266.41283655153654"/>
    <n v="7218"/>
  </r>
  <r>
    <s v="Nov"/>
    <x v="22"/>
    <x v="2"/>
    <n v="3385"/>
    <n v="329"/>
    <n v="599760"/>
    <n v="17.61788048552755"/>
    <n v="28394"/>
    <n v="10566500.000000004"/>
    <n v="8.3881831610044308"/>
    <n v="372.13847996055517"/>
    <n v="3056"/>
  </r>
  <r>
    <s v="Nov"/>
    <x v="22"/>
    <x v="3"/>
    <n v="5268"/>
    <n v="326"/>
    <n v="604702"/>
    <n v="23.435841125050029"/>
    <n v="44501"/>
    <n v="14171700.000000002"/>
    <n v="8.4474183750949123"/>
    <n v="318.45801217950162"/>
    <n v="4942"/>
  </r>
  <r>
    <s v="Nov"/>
    <x v="22"/>
    <x v="1"/>
    <n v="1671"/>
    <n v="202"/>
    <n v="606171"/>
    <n v="15.150015424690389"/>
    <n v="40254"/>
    <n v="9183499.9999999981"/>
    <n v="24.089766606822263"/>
    <n v="228.13881850250903"/>
    <n v="1469"/>
  </r>
  <r>
    <s v="Nov"/>
    <x v="23"/>
    <x v="1"/>
    <n v="1163"/>
    <n v="146"/>
    <n v="607188"/>
    <n v="21.77776899411715"/>
    <n v="28509"/>
    <n v="13223200.000000004"/>
    <n v="24.513327601031815"/>
    <n v="463.82545862710032"/>
    <n v="1017"/>
  </r>
  <r>
    <s v="Nov"/>
    <x v="23"/>
    <x v="1"/>
    <n v="9656"/>
    <n v="1024"/>
    <n v="615820"/>
    <n v="8.7252768666168681"/>
    <n v="58998"/>
    <n v="5373200"/>
    <n v="6.1099834299917148"/>
    <n v="91.074273704193359"/>
    <n v="8632"/>
  </r>
  <r>
    <s v="Nov"/>
    <x v="23"/>
    <x v="3"/>
    <n v="5592"/>
    <n v="710"/>
    <n v="620702"/>
    <n v="9.07118069540617"/>
    <n v="24472"/>
    <n v="5630500.0000000009"/>
    <n v="4.3762517882689558"/>
    <n v="230.07927427263814"/>
    <n v="4882"/>
  </r>
  <r>
    <s v="Nov"/>
    <x v="23"/>
    <x v="2"/>
    <n v="5795"/>
    <n v="575"/>
    <n v="625922"/>
    <n v="3.0908004511744269"/>
    <n v="55657"/>
    <n v="1934599.9999999995"/>
    <n v="9.604314063848145"/>
    <n v="34.759329464398"/>
    <n v="5220"/>
  </r>
  <r>
    <s v="Nov"/>
    <x v="24"/>
    <x v="0"/>
    <n v="5798"/>
    <n v="592"/>
    <n v="631128"/>
    <n v="1.6774727155188811"/>
    <n v="13471"/>
    <n v="1058700.0000000005"/>
    <n v="2.3233873749568819"/>
    <n v="78.591047435231275"/>
    <n v="5206"/>
  </r>
  <r>
    <s v="Nov"/>
    <x v="24"/>
    <x v="1"/>
    <n v="7036"/>
    <n v="652"/>
    <n v="637512"/>
    <n v="3.5705994553828009"/>
    <n v="51796"/>
    <n v="2276300"/>
    <n v="7.3615690733371233"/>
    <n v="43.947409066337165"/>
    <n v="6384"/>
  </r>
  <r>
    <s v="Nov"/>
    <x v="24"/>
    <x v="3"/>
    <n v="3355"/>
    <n v="176"/>
    <n v="640691"/>
    <n v="12.426427091999111"/>
    <n v="40268"/>
    <n v="7961500.0000000028"/>
    <n v="12.002384500745157"/>
    <n v="197.71282407867295"/>
    <n v="3179"/>
  </r>
  <r>
    <s v="Nov"/>
    <x v="24"/>
    <x v="3"/>
    <n v="6887"/>
    <n v="418"/>
    <n v="647160"/>
    <n v="20.240280610668151"/>
    <n v="18329"/>
    <n v="13098700"/>
    <n v="2.6613910265718022"/>
    <n v="714.64346118173387"/>
    <n v="6469"/>
  </r>
  <r>
    <s v="Nov"/>
    <x v="25"/>
    <x v="0"/>
    <n v="8961"/>
    <n v="476"/>
    <n v="655645"/>
    <n v="15.458517947974901"/>
    <n v="44865"/>
    <n v="10135300.000000004"/>
    <n v="5.0066956812855707"/>
    <n v="225.90660871503408"/>
    <n v="8485"/>
  </r>
  <r>
    <s v="Nov"/>
    <x v="25"/>
    <x v="0"/>
    <n v="6827"/>
    <n v="775"/>
    <n v="661697"/>
    <n v="15.96622018839439"/>
    <n v="56850"/>
    <n v="10564800.000000002"/>
    <n v="8.3272301157170059"/>
    <n v="185.83641160949873"/>
    <n v="6052"/>
  </r>
  <r>
    <s v="Nov"/>
    <x v="25"/>
    <x v="3"/>
    <n v="9737"/>
    <n v="792"/>
    <n v="670642"/>
    <n v="5.301785453341723"/>
    <n v="56698"/>
    <n v="3555600"/>
    <n v="5.8229434117284589"/>
    <n v="62.711206744505979"/>
    <n v="8945"/>
  </r>
  <r>
    <s v="Nov"/>
    <x v="25"/>
    <x v="2"/>
    <n v="5719"/>
    <n v="576"/>
    <n v="675785"/>
    <n v="10.21656296011305"/>
    <n v="38272"/>
    <n v="6904199.9999999972"/>
    <n v="6.6920790347962926"/>
    <n v="180.39820234113705"/>
    <n v="5143"/>
  </r>
  <r>
    <s v="Dec"/>
    <x v="26"/>
    <x v="0"/>
    <n v="1593"/>
    <n v="224"/>
    <n v="677154"/>
    <n v="4.1495730660972248"/>
    <n v="52845"/>
    <n v="2809900"/>
    <n v="33.173258003766477"/>
    <n v="53.17248557100956"/>
    <n v="1369"/>
  </r>
  <r>
    <s v="Dec"/>
    <x v="26"/>
    <x v="3"/>
    <n v="5839"/>
    <n v="437"/>
    <n v="682556"/>
    <n v="17.44750613869045"/>
    <n v="16397"/>
    <n v="11908899.999999998"/>
    <n v="2.8081863332762458"/>
    <n v="726.28529609074815"/>
    <n v="5402"/>
  </r>
  <r>
    <s v="Dec"/>
    <x v="26"/>
    <x v="0"/>
    <n v="8394"/>
    <n v="764"/>
    <n v="690186"/>
    <n v="6.3556780346167558"/>
    <n v="42373"/>
    <n v="4386600"/>
    <n v="5.0480104836788184"/>
    <n v="103.52347013428363"/>
    <n v="7630"/>
  </r>
  <r>
    <s v="Dec"/>
    <x v="26"/>
    <x v="2"/>
    <n v="4493"/>
    <n v="564"/>
    <n v="694115"/>
    <n v="16.625487131094989"/>
    <n v="45525"/>
    <n v="11539999.999999998"/>
    <n v="10.132428221678166"/>
    <n v="253.48709500274569"/>
    <n v="3929"/>
  </r>
  <r>
    <s v="Dec"/>
    <x v="27"/>
    <x v="1"/>
    <n v="7164"/>
    <n v="522"/>
    <n v="700757"/>
    <n v="13.449169969047761"/>
    <n v="34570"/>
    <n v="9424600.0000000019"/>
    <n v="4.8255164712451144"/>
    <n v="272.62366213479902"/>
    <n v="6642"/>
  </r>
  <r>
    <s v="Dec"/>
    <x v="27"/>
    <x v="0"/>
    <n v="3672"/>
    <n v="211"/>
    <n v="704218"/>
    <n v="12.35057894004413"/>
    <n v="28284"/>
    <n v="8697499.9999999981"/>
    <n v="7.7026143790849675"/>
    <n v="307.50601046528067"/>
    <n v="3461"/>
  </r>
  <r>
    <s v="Dec"/>
    <x v="27"/>
    <x v="2"/>
    <n v="5200"/>
    <n v="410"/>
    <n v="709008"/>
    <n v="12.913394489201821"/>
    <n v="28994"/>
    <n v="9155700.0000000037"/>
    <n v="5.5757692307692306"/>
    <n v="315.77912671587239"/>
    <n v="4790"/>
  </r>
  <r>
    <s v="Dec"/>
    <x v="27"/>
    <x v="3"/>
    <n v="1016"/>
    <n v="67"/>
    <n v="709957"/>
    <n v="20.774215903216671"/>
    <n v="33284"/>
    <n v="14748799.999999998"/>
    <n v="32.759842519685037"/>
    <n v="443.11981732964784"/>
    <n v="949"/>
  </r>
  <r>
    <s v="Dec"/>
    <x v="28"/>
    <x v="0"/>
    <n v="4191"/>
    <n v="599"/>
    <n v="713549"/>
    <n v="11.56416728213479"/>
    <n v="27833"/>
    <n v="8251599.9999999972"/>
    <n v="6.6411357671200193"/>
    <n v="296.46822117630143"/>
    <n v="3592"/>
  </r>
  <r>
    <s v="Dec"/>
    <x v="28"/>
    <x v="0"/>
    <n v="1392"/>
    <n v="182"/>
    <n v="714759"/>
    <n v="5.9603306848881932"/>
    <n v="35122"/>
    <n v="4260200"/>
    <n v="25.231321839080461"/>
    <n v="121.29719264278799"/>
    <n v="1210"/>
  </r>
  <r>
    <s v="Dec"/>
    <x v="28"/>
    <x v="3"/>
    <n v="9616"/>
    <n v="1089"/>
    <n v="723286"/>
    <n v="19.25863351426683"/>
    <n v="15017"/>
    <n v="13929499.999999998"/>
    <n v="1.5616680532445923"/>
    <n v="927.58207364986333"/>
    <n v="8527"/>
  </r>
  <r>
    <s v="Dec"/>
    <x v="28"/>
    <x v="1"/>
    <n v="7272"/>
    <n v="997"/>
    <n v="729561"/>
    <n v="13.428486445958599"/>
    <n v="26370"/>
    <n v="9796900.0000000019"/>
    <n v="3.6262376237623761"/>
    <n v="371.51687523701185"/>
    <n v="6275"/>
  </r>
  <r>
    <s v="Dec"/>
    <x v="29"/>
    <x v="3"/>
    <n v="1571"/>
    <n v="204"/>
    <n v="730928"/>
    <n v="19.449384891535139"/>
    <n v="39252"/>
    <n v="14216099.999999996"/>
    <n v="24.985359643539148"/>
    <n v="362.17517578722095"/>
    <n v="1367"/>
  </r>
  <r>
    <s v="Dec"/>
    <x v="29"/>
    <x v="0"/>
    <n v="4631"/>
    <n v="317"/>
    <n v="735242"/>
    <n v="1.381177897889402"/>
    <n v="17999"/>
    <n v="1015499.9999999998"/>
    <n v="3.8866335564672858"/>
    <n v="56.4198011000611"/>
    <n v="4314"/>
  </r>
  <r>
    <s v="Dec"/>
    <x v="29"/>
    <x v="3"/>
    <n v="7172"/>
    <n v="998"/>
    <n v="741416"/>
    <n v="18.0667803230575"/>
    <n v="32436"/>
    <n v="13395000"/>
    <n v="4.5225878416062466"/>
    <n v="412.96707362190159"/>
    <n v="6174"/>
  </r>
  <r>
    <s v="Dec"/>
    <x v="29"/>
    <x v="2"/>
    <n v="8177"/>
    <n v="849"/>
    <n v="748744"/>
    <n v="10.34986590877523"/>
    <n v="52963"/>
    <n v="7749400.0000000009"/>
    <n v="6.4770698300110068"/>
    <n v="146.3172403375942"/>
    <n v="7328"/>
  </r>
  <r>
    <s v="Dec"/>
    <x v="30"/>
    <x v="3"/>
    <n v="9433"/>
    <n v="1233"/>
    <n v="756944"/>
    <n v="11.391727789638329"/>
    <n v="12096"/>
    <n v="8622899.9999999963"/>
    <n v="1.28230679529312"/>
    <n v="712.87202380952351"/>
    <n v="8200"/>
  </r>
  <r>
    <s v="Dec"/>
    <x v="30"/>
    <x v="0"/>
    <n v="4897"/>
    <n v="683"/>
    <n v="761158"/>
    <n v="15.06231294947961"/>
    <n v="58201"/>
    <n v="11464800.000000002"/>
    <n v="11.885031652031856"/>
    <n v="196.9863060772152"/>
    <n v="4214"/>
  </r>
  <r>
    <s v="Dec"/>
    <x v="30"/>
    <x v="3"/>
    <n v="9123"/>
    <n v="746"/>
    <n v="769535"/>
    <n v="6.3086149427901264"/>
    <n v="35279"/>
    <n v="4854700"/>
    <n v="3.86703935109065"/>
    <n v="137.60877575895009"/>
    <n v="8377"/>
  </r>
  <r>
    <s v="Dec"/>
    <x v="30"/>
    <x v="1"/>
    <n v="3279"/>
    <n v="200"/>
    <n v="772614"/>
    <n v="5.0212654702089274"/>
    <n v="53363"/>
    <n v="3879500.0000000005"/>
    <n v="16.274168953949374"/>
    <n v="72.700185521803505"/>
    <n v="3079"/>
  </r>
  <r>
    <s v="Jan"/>
    <x v="31"/>
    <x v="3"/>
    <n v="9980"/>
    <n v="726"/>
    <n v="781868"/>
    <n v="4.0220344099003924"/>
    <n v="58709"/>
    <n v="3144700"/>
    <n v="5.8826653306613226"/>
    <n v="53.564189476911544"/>
    <n v="9254"/>
  </r>
  <r>
    <s v="Jan"/>
    <x v="31"/>
    <x v="1"/>
    <n v="8451"/>
    <n v="783"/>
    <n v="789536"/>
    <n v="12.407287318121019"/>
    <n v="36201"/>
    <n v="9795999.9999999981"/>
    <n v="4.2836350727724533"/>
    <n v="270.60025966133526"/>
    <n v="7668"/>
  </r>
  <r>
    <s v="Jan"/>
    <x v="31"/>
    <x v="2"/>
    <n v="9906"/>
    <n v="1305"/>
    <n v="798137"/>
    <n v="9.1811305577864442"/>
    <n v="29715"/>
    <n v="7327799.9999999991"/>
    <n v="2.9996971532404602"/>
    <n v="246.60272589601209"/>
    <n v="8601"/>
  </r>
  <r>
    <s v="Jan"/>
    <x v="31"/>
    <x v="1"/>
    <n v="1775"/>
    <n v="241"/>
    <n v="799671"/>
    <n v="8.1379717408784362"/>
    <n v="39309"/>
    <n v="6507700"/>
    <n v="22.145915492957748"/>
    <n v="165.55241802131826"/>
    <n v="1534"/>
  </r>
  <r>
    <s v="Jan"/>
    <x v="32"/>
    <x v="3"/>
    <n v="7869"/>
    <n v="398"/>
    <n v="807142"/>
    <n v="15.211945357818079"/>
    <n v="25078"/>
    <n v="12278200"/>
    <n v="3.1869360782818656"/>
    <n v="489.60044660658747"/>
    <n v="7471"/>
  </r>
  <r>
    <s v="Jan"/>
    <x v="32"/>
    <x v="0"/>
    <n v="3247"/>
    <n v="328"/>
    <n v="810061"/>
    <n v="13.941172331466399"/>
    <n v="15105"/>
    <n v="11293200.000000002"/>
    <n v="4.6519864490298737"/>
    <n v="747.64647467725933"/>
    <n v="2919"/>
  </r>
  <r>
    <s v="Jan"/>
    <x v="32"/>
    <x v="1"/>
    <n v="8088"/>
    <n v="742"/>
    <n v="817407"/>
    <n v="14.664542877660701"/>
    <n v="39312"/>
    <n v="11986900"/>
    <n v="4.8605341246290799"/>
    <n v="304.91707366707368"/>
    <n v="7346"/>
  </r>
  <r>
    <s v="Jan"/>
    <x v="32"/>
    <x v="2"/>
    <n v="1078"/>
    <n v="77"/>
    <n v="818408"/>
    <n v="18.236747441373989"/>
    <n v="12839"/>
    <n v="14925100.000000004"/>
    <n v="11.910018552875696"/>
    <n v="1162.4815016745856"/>
    <n v="1001"/>
  </r>
  <r>
    <s v="Jan"/>
    <x v="33"/>
    <x v="1"/>
    <n v="9080"/>
    <n v="562"/>
    <n v="826926"/>
    <n v="7.1083748727213809"/>
    <n v="13384"/>
    <n v="5878100.0000000009"/>
    <n v="1.4740088105726872"/>
    <n v="439.18858338314413"/>
    <n v="8518"/>
  </r>
  <r>
    <s v="Jan"/>
    <x v="33"/>
    <x v="1"/>
    <n v="8099"/>
    <n v="678"/>
    <n v="834347"/>
    <n v="7.6464588474579518"/>
    <n v="53619"/>
    <n v="6379800"/>
    <n v="6.6204469687615752"/>
    <n v="118.98394225927376"/>
    <n v="7421"/>
  </r>
  <r>
    <s v="Jan"/>
    <x v="33"/>
    <x v="1"/>
    <n v="4926"/>
    <n v="710"/>
    <n v="838563"/>
    <n v="12.96217457722318"/>
    <n v="52821"/>
    <n v="10869600.000000002"/>
    <n v="10.722898903775883"/>
    <n v="205.78179133299258"/>
    <n v="4216"/>
  </r>
  <r>
    <s v="Jan"/>
    <x v="33"/>
    <x v="2"/>
    <n v="8340"/>
    <n v="686"/>
    <n v="846217"/>
    <n v="7.201344336027284"/>
    <n v="23493"/>
    <n v="6093900"/>
    <n v="2.816906474820144"/>
    <n v="259.39215936661986"/>
    <n v="7654"/>
  </r>
  <r>
    <s v="Jan"/>
    <x v="34"/>
    <x v="3"/>
    <n v="8083"/>
    <n v="823"/>
    <n v="853477"/>
    <n v="4.6300017457998282"/>
    <n v="27069"/>
    <n v="3951600"/>
    <n v="3.3488803662006679"/>
    <n v="145.98248919428127"/>
    <n v="7260"/>
  </r>
  <r>
    <s v="Jan"/>
    <x v="34"/>
    <x v="1"/>
    <n v="7230"/>
    <n v="869"/>
    <n v="859838"/>
    <n v="7.0117859410726204"/>
    <n v="56907"/>
    <n v="6029000"/>
    <n v="7.8709543568464726"/>
    <n v="105.94478710879153"/>
    <n v="6361"/>
  </r>
  <r>
    <s v="Jan"/>
    <x v="34"/>
    <x v="1"/>
    <n v="5940"/>
    <n v="512"/>
    <n v="865266"/>
    <n v="15.7972230504839"/>
    <n v="17531"/>
    <n v="13668800.000000002"/>
    <n v="2.9513468013468014"/>
    <n v="779.69311505333417"/>
    <n v="5428"/>
  </r>
  <r>
    <s v="Jan"/>
    <x v="34"/>
    <x v="0"/>
    <n v="4271"/>
    <n v="628"/>
    <n v="868909"/>
    <n v="11.124410036033691"/>
    <n v="47051"/>
    <n v="9666099.9999999981"/>
    <n v="11.016389604308124"/>
    <n v="205.43877919704147"/>
    <n v="3643"/>
  </r>
  <r>
    <s v="Feb"/>
    <x v="35"/>
    <x v="2"/>
    <n v="4456"/>
    <n v="651"/>
    <n v="872714"/>
    <n v="9.5052903929580594"/>
    <n v="17736"/>
    <n v="8295400"/>
    <n v="3.9802513464991023"/>
    <n v="467.71538114569239"/>
    <n v="3805"/>
  </r>
  <r>
    <s v="Feb"/>
    <x v="35"/>
    <x v="1"/>
    <n v="8788"/>
    <n v="660"/>
    <n v="880842"/>
    <n v="3.7175793161543158"/>
    <n v="17710"/>
    <n v="3274600"/>
    <n v="2.0152480655439233"/>
    <n v="184.901185770751"/>
    <n v="8128"/>
  </r>
  <r>
    <s v="Feb"/>
    <x v="35"/>
    <x v="2"/>
    <n v="9599"/>
    <n v="957"/>
    <n v="889484"/>
    <n v="8.768004820772493"/>
    <n v="11619"/>
    <n v="7799000"/>
    <n v="1.2104385873528491"/>
    <n v="671.22816077115067"/>
    <n v="8642"/>
  </r>
  <r>
    <s v="Feb"/>
    <x v="35"/>
    <x v="1"/>
    <n v="8650"/>
    <n v="692"/>
    <n v="897442"/>
    <n v="7.6673478620345374"/>
    <n v="23975"/>
    <n v="6880999.9999999991"/>
    <n v="2.7716763005780347"/>
    <n v="287.00729927007296"/>
    <n v="7958"/>
  </r>
  <r>
    <s v="Feb"/>
    <x v="36"/>
    <x v="3"/>
    <n v="3711"/>
    <n v="291"/>
    <n v="900862"/>
    <n v="14.24879726306582"/>
    <n v="55603"/>
    <n v="12836200"/>
    <n v="14.983292912961465"/>
    <n v="230.85445029944427"/>
    <n v="3420"/>
  </r>
  <r>
    <s v="Feb"/>
    <x v="36"/>
    <x v="3"/>
    <n v="2668"/>
    <n v="143"/>
    <n v="903387"/>
    <n v="15.903372530266649"/>
    <n v="33252"/>
    <n v="14366899.999999998"/>
    <n v="12.463268365817092"/>
    <n v="432.06122939973528"/>
    <n v="2525"/>
  </r>
  <r>
    <s v="Feb"/>
    <x v="36"/>
    <x v="1"/>
    <n v="1147"/>
    <n v="127"/>
    <n v="904407"/>
    <n v="1.3997016829812241"/>
    <n v="25261"/>
    <n v="1265900"/>
    <n v="22.023539668700959"/>
    <n v="50.112822136890863"/>
    <n v="1020"/>
  </r>
  <r>
    <s v="Feb"/>
    <x v="36"/>
    <x v="3"/>
    <n v="7420"/>
    <n v="743"/>
    <n v="911084"/>
    <n v="10.593534734448189"/>
    <n v="11431"/>
    <n v="9651599.9999999944"/>
    <n v="1.540566037735849"/>
    <n v="844.33557868952801"/>
    <n v="6677"/>
  </r>
  <r>
    <s v="Feb"/>
    <x v="37"/>
    <x v="1"/>
    <n v="1365"/>
    <n v="75"/>
    <n v="912374"/>
    <n v="9.2688963078737441"/>
    <n v="19067"/>
    <n v="8456700"/>
    <n v="13.968498168498169"/>
    <n v="443.52546284155869"/>
    <n v="1290"/>
  </r>
  <r>
    <s v="Feb"/>
    <x v="37"/>
    <x v="3"/>
    <n v="5531"/>
    <n v="430"/>
    <n v="917475"/>
    <n v="2.7289026948963189"/>
    <n v="47481"/>
    <n v="2503700"/>
    <n v="8.5845235942867468"/>
    <n v="52.730565910574754"/>
    <n v="5101"/>
  </r>
  <r>
    <s v="Feb"/>
    <x v="37"/>
    <x v="0"/>
    <n v="6330"/>
    <n v="891"/>
    <n v="922914"/>
    <n v="14.789893749580139"/>
    <n v="37037"/>
    <n v="13649800.000000006"/>
    <n v="5.851026856240126"/>
    <n v="368.5449685449687"/>
    <n v="5439"/>
  </r>
  <r>
    <s v="Feb"/>
    <x v="37"/>
    <x v="0"/>
    <n v="6510"/>
    <n v="481"/>
    <n v="928943"/>
    <n v="2.3800168578696428"/>
    <n v="19557"/>
    <n v="2210899.9999999995"/>
    <n v="3.004147465437788"/>
    <n v="113.04903615073884"/>
    <n v="6029"/>
  </r>
  <r>
    <s v="Feb"/>
    <x v="38"/>
    <x v="0"/>
    <n v="9754"/>
    <n v="629"/>
    <n v="938068"/>
    <n v="3.4123325814333292"/>
    <n v="19435"/>
    <n v="3201000.0000000005"/>
    <n v="1.992515890916547"/>
    <n v="164.70285567275536"/>
    <n v="9125"/>
  </r>
  <r>
    <s v="Feb"/>
    <x v="38"/>
    <x v="2"/>
    <n v="9964"/>
    <n v="985"/>
    <n v="947047"/>
    <n v="1.9837452629066989"/>
    <n v="47766"/>
    <n v="1878700.0000000005"/>
    <n v="4.7938578883982332"/>
    <n v="39.33132353556924"/>
    <n v="8979"/>
  </r>
  <r>
    <s v="Feb"/>
    <x v="38"/>
    <x v="2"/>
    <n v="7493"/>
    <n v="1113"/>
    <n v="953427"/>
    <n v="15.684892498324469"/>
    <n v="10162"/>
    <n v="14954400.000000004"/>
    <n v="1.3561991191778995"/>
    <n v="1471.6000787246608"/>
    <n v="6380"/>
  </r>
  <r>
    <s v="Feb"/>
    <x v="38"/>
    <x v="0"/>
    <n v="6439"/>
    <n v="477"/>
    <n v="959389"/>
    <n v="7.4744446725989153"/>
    <n v="44742"/>
    <n v="7170900.0000000009"/>
    <n v="6.9485945022519022"/>
    <n v="160.27222743730724"/>
    <n v="5962"/>
  </r>
  <r>
    <s v="Mar"/>
    <x v="39"/>
    <x v="2"/>
    <n v="7511"/>
    <n v="880"/>
    <n v="966020"/>
    <n v="4.6083932009689246"/>
    <n v="29675"/>
    <n v="4451800.0000000009"/>
    <n v="3.9508720543203304"/>
    <n v="150.01853411962935"/>
    <n v="6631"/>
  </r>
  <r>
    <s v="Mar"/>
    <x v="39"/>
    <x v="3"/>
    <n v="8504"/>
    <n v="1072"/>
    <n v="973452"/>
    <n v="6.5651927367759271"/>
    <n v="18461"/>
    <n v="6390900"/>
    <n v="2.1708607714016934"/>
    <n v="346.1838470288717"/>
    <n v="7432"/>
  </r>
  <r>
    <s v="Mar"/>
    <x v="39"/>
    <x v="1"/>
    <n v="2246"/>
    <n v="165"/>
    <n v="975533"/>
    <n v="2.9062061457685191"/>
    <n v="27015"/>
    <n v="2835100.0000000009"/>
    <n v="12.028049866429207"/>
    <n v="104.94540070331301"/>
    <n v="2081"/>
  </r>
  <r>
    <s v="Mar"/>
    <x v="39"/>
    <x v="1"/>
    <n v="4839"/>
    <n v="594"/>
    <n v="979778"/>
    <n v="2.5803804535313102"/>
    <n v="42591"/>
    <n v="2528200"/>
    <n v="8.8016119032858029"/>
    <n v="59.359958676715735"/>
    <n v="4245"/>
  </r>
  <r>
    <s v="Mar"/>
    <x v="40"/>
    <x v="1"/>
    <n v="9551"/>
    <n v="828"/>
    <n v="988501"/>
    <n v="1.525036393488727"/>
    <n v="38047"/>
    <n v="1507500.0000000002"/>
    <n v="3.9835619306878862"/>
    <n v="39.622046416274614"/>
    <n v="8723"/>
  </r>
  <r>
    <s v="Mar"/>
    <x v="40"/>
    <x v="0"/>
    <n v="3376"/>
    <n v="382"/>
    <n v="991495"/>
    <n v="3.8694093263203548"/>
    <n v="44782"/>
    <n v="3836500"/>
    <n v="13.264810426540285"/>
    <n v="85.670581930239834"/>
    <n v="2994"/>
  </r>
  <r>
    <s v="Mar"/>
    <x v="40"/>
    <x v="2"/>
    <n v="4009"/>
    <n v="454"/>
    <n v="995050"/>
    <n v="2.1106477061454201"/>
    <n v="19833"/>
    <n v="2100200.0000000005"/>
    <n v="4.9471189822898483"/>
    <n v="105.89421670952456"/>
    <n v="3555"/>
  </r>
  <r>
    <s v="Mar"/>
    <x v="40"/>
    <x v="3"/>
    <n v="2827"/>
    <n v="292"/>
    <n v="997585"/>
    <n v="2.4004972007397871"/>
    <n v="17896"/>
    <n v="2394700.0000000005"/>
    <n v="6.3303855677396532"/>
    <n v="133.81202503352708"/>
    <n v="2535"/>
  </r>
  <r>
    <s v="Mar"/>
    <x v="41"/>
    <x v="3"/>
    <n v="7979"/>
    <n v="470"/>
    <n v="1005094"/>
    <n v="10.43086517280971"/>
    <n v="42972"/>
    <n v="10484000.000000004"/>
    <n v="5.3856372979070057"/>
    <n v="243.97281951037894"/>
    <n v="7509"/>
  </r>
  <r>
    <s v="Mar"/>
    <x v="41"/>
    <x v="0"/>
    <n v="9569"/>
    <n v="1277"/>
    <n v="1013386"/>
    <n v="12.45517502708741"/>
    <n v="59733"/>
    <n v="12621900.000000002"/>
    <n v="6.2423450726303686"/>
    <n v="211.30530862337403"/>
    <n v="8292"/>
  </r>
  <r>
    <s v="Mar"/>
    <x v="41"/>
    <x v="3"/>
    <n v="5285"/>
    <n v="433"/>
    <n v="1018238"/>
    <n v="8.7022876773406619"/>
    <n v="51800"/>
    <n v="8861000"/>
    <n v="9.8013245033112586"/>
    <n v="171.06177606177607"/>
    <n v="4852"/>
  </r>
  <r>
    <s v="Mar"/>
    <x v="41"/>
    <x v="3"/>
    <n v="7910"/>
    <n v="543"/>
    <n v="1025605"/>
    <n v="6.0590578244060822"/>
    <n v="40508"/>
    <n v="6214200"/>
    <n v="5.121112515802781"/>
    <n v="153.40673447220303"/>
    <n v="7367"/>
  </r>
  <r>
    <s v="Mar"/>
    <x v="42"/>
    <x v="3"/>
    <n v="9561"/>
    <n v="517"/>
    <n v="1034649"/>
    <n v="6.4086467971263694"/>
    <n v="15347"/>
    <n v="6630700.0000000009"/>
    <n v="1.6051668235540215"/>
    <n v="432.05186681436118"/>
    <n v="9044"/>
  </r>
  <r>
    <s v="Mar"/>
    <x v="42"/>
    <x v="3"/>
    <n v="3196"/>
    <n v="348"/>
    <n v="1037497"/>
    <n v="14.03040201562029"/>
    <n v="40314"/>
    <n v="14556500.000000004"/>
    <n v="12.61389236545682"/>
    <n v="361.07803740636018"/>
    <n v="2848"/>
  </r>
  <r>
    <s v="Mar"/>
    <x v="42"/>
    <x v="2"/>
    <n v="4747"/>
    <n v="558"/>
    <n v="1041686"/>
    <n v="5.7680529449373434"/>
    <n v="12643"/>
    <n v="6008500.0000000019"/>
    <n v="2.6633663366336635"/>
    <n v="475.24321759076184"/>
    <n v="4189"/>
  </r>
  <r>
    <s v="Mar"/>
    <x v="42"/>
    <x v="3"/>
    <n v="9843"/>
    <n v="508"/>
    <n v="1051021"/>
    <n v="4.2080986012648651"/>
    <n v="50785"/>
    <n v="4422800"/>
    <n v="5.1595042161942501"/>
    <n v="87.088707295461262"/>
    <n v="9335"/>
  </r>
  <r>
    <s v="Mar"/>
    <x v="43"/>
    <x v="1"/>
    <n v="6978"/>
    <n v="706"/>
    <n v="1057293"/>
    <n v="5.057443868445171"/>
    <n v="28681"/>
    <n v="5347200"/>
    <n v="4.1102034967039263"/>
    <n v="186.43701405111398"/>
    <n v="6272"/>
  </r>
  <r>
    <s v="Mar"/>
    <x v="43"/>
    <x v="0"/>
    <n v="6607"/>
    <n v="479"/>
    <n v="1063421"/>
    <n v="5.5892257158735816"/>
    <n v="48328"/>
    <n v="5943700"/>
    <n v="7.3146662630543364"/>
    <n v="122.986674391657"/>
    <n v="6128"/>
  </r>
  <r>
    <s v="Mar"/>
    <x v="43"/>
    <x v="2"/>
    <n v="1769"/>
    <n v="202"/>
    <n v="1064988"/>
    <n v="6.5457075572682513"/>
    <n v="25892"/>
    <n v="6971100"/>
    <n v="14.636517806670435"/>
    <n v="269.23760234821566"/>
    <n v="1567"/>
  </r>
  <r>
    <s v="Mar"/>
    <x v="43"/>
    <x v="3"/>
    <n v="1780"/>
    <n v="120"/>
    <n v="1066648"/>
    <n v="13.86474263299608"/>
    <n v="57299"/>
    <n v="14788800.000000004"/>
    <n v="32.190449438202251"/>
    <n v="258.09874517879899"/>
    <n v="1660"/>
  </r>
  <r>
    <s v="Apr"/>
    <x v="44"/>
    <x v="2"/>
    <n v="7303"/>
    <n v="869"/>
    <n v="1073082"/>
    <n v="8.1237966902808925"/>
    <n v="27073"/>
    <n v="8717500"/>
    <n v="3.7071066684924006"/>
    <n v="321.99977837698077"/>
    <n v="6434"/>
  </r>
  <r>
    <s v="Apr"/>
    <x v="44"/>
    <x v="3"/>
    <n v="4983"/>
    <n v="441"/>
    <n v="1077624"/>
    <n v="6.8954477628560609"/>
    <n v="46768"/>
    <n v="7430700"/>
    <n v="9.3855107365041146"/>
    <n v="158.88427984946972"/>
    <n v="4542"/>
  </r>
  <r>
    <s v="Apr"/>
    <x v="44"/>
    <x v="1"/>
    <n v="9714"/>
    <n v="1395"/>
    <n v="1085943"/>
    <n v="5.2243073531483697"/>
    <n v="40682"/>
    <n v="5673300"/>
    <n v="4.1879761169446157"/>
    <n v="139.45479573275651"/>
    <n v="8319"/>
  </r>
  <r>
    <s v="Apr"/>
    <x v="44"/>
    <x v="0"/>
    <n v="1521"/>
    <n v="96"/>
    <n v="1087368"/>
    <n v="12.709772588488899"/>
    <n v="42262"/>
    <n v="13820199.999999998"/>
    <n v="27.785667324128863"/>
    <n v="327.01244616913533"/>
    <n v="1425"/>
  </r>
  <r>
    <s v="Apr"/>
    <x v="45"/>
    <x v="3"/>
    <n v="8569"/>
    <n v="720"/>
    <n v="1095217"/>
    <n v="9.589697749395782"/>
    <n v="41358"/>
    <n v="10502800"/>
    <n v="4.8264674991247523"/>
    <n v="253.94845011847769"/>
    <n v="7849"/>
  </r>
  <r>
    <s v="Apr"/>
    <x v="45"/>
    <x v="3"/>
    <n v="6784"/>
    <n v="416"/>
    <n v="1101585"/>
    <n v="9.3041390360253633"/>
    <n v="24289"/>
    <n v="10249300"/>
    <n v="3.5803360849056602"/>
    <n v="421.9729095475318"/>
    <n v="6368"/>
  </r>
  <r>
    <s v="Apr"/>
    <x v="45"/>
    <x v="3"/>
    <n v="5583"/>
    <n v="795"/>
    <n v="1106373"/>
    <n v="12.21550055903389"/>
    <n v="59823"/>
    <n v="13514900.000000002"/>
    <n v="10.715206878022569"/>
    <n v="225.91478194005654"/>
    <n v="4788"/>
  </r>
  <r>
    <s v="Apr"/>
    <x v="45"/>
    <x v="3"/>
    <n v="6946"/>
    <n v="956"/>
    <n v="1112363"/>
    <n v="1.64146056637986"/>
    <n v="17927"/>
    <n v="1825900.0000000002"/>
    <n v="2.580909876187734"/>
    <n v="101.85195515144756"/>
    <n v="5990"/>
  </r>
  <r>
    <s v="Apr"/>
    <x v="46"/>
    <x v="0"/>
    <n v="5941"/>
    <n v="450"/>
    <n v="1117854"/>
    <n v="12.414411899944"/>
    <n v="58330"/>
    <n v="13877500"/>
    <n v="9.8182124221511522"/>
    <n v="237.91359506257501"/>
    <n v="5491"/>
  </r>
  <r>
    <s v="Apr"/>
    <x v="46"/>
    <x v="0"/>
    <n v="7267"/>
    <n v="842"/>
    <n v="1124279"/>
    <n v="2.2102165031989389"/>
    <n v="11171"/>
    <n v="2484900"/>
    <n v="1.5372230631622403"/>
    <n v="222.44203741831529"/>
    <n v="6425"/>
  </r>
  <r>
    <s v="Apr"/>
    <x v="46"/>
    <x v="1"/>
    <n v="8128"/>
    <n v="1070"/>
    <n v="1131337"/>
    <n v="8.1114645768679008"/>
    <n v="21918"/>
    <n v="9176800"/>
    <n v="2.6966043307086616"/>
    <n v="418.68783648143079"/>
    <n v="7058"/>
  </r>
  <r>
    <s v="Apr"/>
    <x v="46"/>
    <x v="0"/>
    <n v="3461"/>
    <n v="365"/>
    <n v="1134433"/>
    <n v="10.23489267325616"/>
    <n v="51903"/>
    <n v="11610800.000000006"/>
    <n v="14.996532793990177"/>
    <n v="223.70190547752549"/>
    <n v="3096"/>
  </r>
  <r>
    <s v="Apr"/>
    <x v="47"/>
    <x v="3"/>
    <n v="1685"/>
    <n v="173"/>
    <n v="1135945"/>
    <n v="8.7776256772995165"/>
    <n v="49110"/>
    <n v="9970900"/>
    <n v="29.145400593471809"/>
    <n v="203.0319690490735"/>
    <n v="1512"/>
  </r>
  <r>
    <s v="Apr"/>
    <x v="47"/>
    <x v="1"/>
    <n v="3160"/>
    <n v="234"/>
    <n v="1138871"/>
    <n v="5.6959041015180816"/>
    <n v="21929"/>
    <n v="6486899.9999999991"/>
    <n v="6.9395569620253168"/>
    <n v="295.81376259747361"/>
    <n v="2926"/>
  </r>
  <r>
    <s v="Apr"/>
    <x v="47"/>
    <x v="1"/>
    <n v="8031"/>
    <n v="476"/>
    <n v="1146426"/>
    <n v="11.940413075069831"/>
    <n v="12539"/>
    <n v="13688800.000000006"/>
    <n v="1.5613248661436931"/>
    <n v="1091.697902544063"/>
    <n v="7555"/>
  </r>
  <r>
    <s v="Apr"/>
    <x v="47"/>
    <x v="1"/>
    <n v="6341"/>
    <n v="885"/>
    <n v="1151882"/>
    <n v="6.3457020771224837"/>
    <n v="46727"/>
    <n v="7309500.0000000009"/>
    <n v="7.3690269673553068"/>
    <n v="156.42990134183665"/>
    <n v="5456"/>
  </r>
  <r>
    <s v="May"/>
    <x v="48"/>
    <x v="3"/>
    <n v="1038"/>
    <n v="145"/>
    <n v="1152775"/>
    <n v="11.093752033137431"/>
    <n v="55951"/>
    <n v="12788600.000000002"/>
    <n v="53.902697495183041"/>
    <n v="228.56785401512042"/>
    <n v="893"/>
  </r>
  <r>
    <s v="May"/>
    <x v="48"/>
    <x v="2"/>
    <n v="5875"/>
    <n v="665"/>
    <n v="1157985"/>
    <n v="6.9871371390821126"/>
    <n v="32669"/>
    <n v="8091000"/>
    <n v="5.5606808510638297"/>
    <n v="247.66598304202762"/>
    <n v="5210"/>
  </r>
  <r>
    <s v="May"/>
    <x v="48"/>
    <x v="3"/>
    <n v="2256"/>
    <n v="189"/>
    <n v="1160052"/>
    <n v="2.8935771844710412"/>
    <n v="15432"/>
    <n v="3356700.0000000005"/>
    <n v="6.8404255319148932"/>
    <n v="217.51555209953347"/>
    <n v="2067"/>
  </r>
  <r>
    <s v="May"/>
    <x v="48"/>
    <x v="0"/>
    <n v="8697"/>
    <n v="738"/>
    <n v="1168011"/>
    <n v="3.8777032065622672"/>
    <n v="30644"/>
    <n v="4529200"/>
    <n v="3.5235138553524203"/>
    <n v="147.80054823130141"/>
    <n v="7959"/>
  </r>
  <r>
    <s v="May"/>
    <x v="49"/>
    <x v="0"/>
    <n v="3196"/>
    <n v="391"/>
    <n v="1170816"/>
    <n v="7.2439221876024931"/>
    <n v="28745"/>
    <n v="8481300"/>
    <n v="8.9940550688360457"/>
    <n v="295.05305270481824"/>
    <n v="2805"/>
  </r>
  <r>
    <s v="May"/>
    <x v="49"/>
    <x v="3"/>
    <n v="8165"/>
    <n v="1140"/>
    <n v="1177841"/>
    <n v="9.095964565675672"/>
    <n v="38228"/>
    <n v="10713600"/>
    <n v="4.6819350887936313"/>
    <n v="280.25531024380035"/>
    <n v="7025"/>
  </r>
  <r>
    <s v="May"/>
    <x v="49"/>
    <x v="3"/>
    <n v="1301"/>
    <n v="180"/>
    <n v="1178962"/>
    <n v="5.2275645864752214"/>
    <n v="44521"/>
    <n v="6163100"/>
    <n v="34.220599538816295"/>
    <n v="138.43130208216348"/>
    <n v="1121"/>
  </r>
  <r>
    <s v="May"/>
    <x v="49"/>
    <x v="1"/>
    <n v="8527"/>
    <n v="1091"/>
    <n v="1186398"/>
    <n v="1.676081719625286"/>
    <n v="41703"/>
    <n v="1988500"/>
    <n v="4.8907001290019938"/>
    <n v="47.682420928949952"/>
    <n v="7436"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  <r>
    <m/>
    <x v="50"/>
    <x v="4"/>
    <m/>
    <m/>
    <m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Jun"/>
    <x v="0"/>
    <s v="Instagram"/>
    <n v="4138"/>
    <n v="361"/>
    <n v="103777"/>
    <n v="56.637790647253247"/>
    <n v="23944"/>
    <n v="5877700"/>
    <n v="5.7863702271628803"/>
    <n v="245.47694620781823"/>
    <n v="3777"/>
  </r>
  <r>
    <s v="Jun"/>
    <x v="0"/>
    <s v="Twitter"/>
    <n v="8693"/>
    <n v="1261"/>
    <n v="111209"/>
    <n v="69.475492091467416"/>
    <n v="29873"/>
    <n v="7726300"/>
    <n v="3.4364431151501207"/>
    <n v="258.63823519566165"/>
    <n v="7432"/>
  </r>
  <r>
    <s v="Jun"/>
    <x v="0"/>
    <s v="YouTube"/>
    <n v="9264"/>
    <n v="1141"/>
    <n v="119332"/>
    <n v="92.312204605638044"/>
    <n v="50372"/>
    <n v="11015800"/>
    <n v="5.4373920552677033"/>
    <n v="218.68895418089414"/>
    <n v="8123"/>
  </r>
  <r>
    <s v="Jun"/>
    <x v="0"/>
    <s v="YouTube"/>
    <n v="8842"/>
    <n v="971"/>
    <n v="127203"/>
    <n v="16.351815601833291"/>
    <n v="33928"/>
    <n v="2080000"/>
    <n v="3.8371409183442662"/>
    <n v="61.306295684979958"/>
    <n v="7871"/>
  </r>
  <r>
    <s v="Jun"/>
    <x v="1"/>
    <s v="Instagram"/>
    <n v="7721"/>
    <n v="506"/>
    <n v="134418"/>
    <n v="35.577824398518047"/>
    <n v="25379"/>
    <n v="4782299.9999999991"/>
    <n v="3.2870094547338429"/>
    <n v="188.43532054060441"/>
    <n v="7215"/>
  </r>
  <r>
    <s v="Jun"/>
    <x v="1"/>
    <s v="YouTube"/>
    <n v="8002"/>
    <n v="524"/>
    <n v="141896"/>
    <n v="52.064892597395271"/>
    <n v="46751"/>
    <n v="7387799.9999999991"/>
    <n v="5.8424143964008994"/>
    <n v="158.02442728497783"/>
    <n v="7478"/>
  </r>
  <r>
    <s v="Jun"/>
    <x v="1"/>
    <s v="Twitter"/>
    <n v="5225"/>
    <n v="291"/>
    <n v="146830"/>
    <n v="19.551862698358651"/>
    <n v="44546"/>
    <n v="2870800.0000000005"/>
    <n v="8.52555023923445"/>
    <n v="64.445741480716578"/>
    <n v="4934"/>
  </r>
  <r>
    <s v="Jun"/>
    <x v="1"/>
    <s v="Twitter"/>
    <n v="3978"/>
    <n v="543"/>
    <n v="150265"/>
    <n v="49.159817655475329"/>
    <n v="34286"/>
    <n v="7387000"/>
    <n v="8.6189039718451479"/>
    <n v="215.45237123023975"/>
    <n v="3435"/>
  </r>
  <r>
    <s v="Jun"/>
    <x v="2"/>
    <s v="Instagram"/>
    <n v="8373"/>
    <n v="921"/>
    <n v="157717"/>
    <n v="12.2263294381709"/>
    <n v="15110"/>
    <n v="1928299.9999999998"/>
    <n v="1.8046100561328078"/>
    <n v="127.61747187293182"/>
    <n v="7452"/>
  </r>
  <r>
    <s v="Jun"/>
    <x v="2"/>
    <s v="Twitter"/>
    <n v="6907"/>
    <n v="834"/>
    <n v="163790"/>
    <n v="54.158984064961238"/>
    <n v="22087"/>
    <n v="8870700.0000000019"/>
    <n v="3.1977703778775157"/>
    <n v="401.62539050119989"/>
    <n v="6073"/>
  </r>
  <r>
    <s v="Jun"/>
    <x v="2"/>
    <s v="LinkedIn"/>
    <n v="7097"/>
    <n v="369"/>
    <n v="170518"/>
    <n v="9.2506362964613711"/>
    <n v="33762"/>
    <n v="1577400"/>
    <n v="4.7572213611385088"/>
    <n v="46.721165807712815"/>
    <n v="6728"/>
  </r>
  <r>
    <s v="Jun"/>
    <x v="2"/>
    <s v="Instagram"/>
    <n v="6656"/>
    <n v="978"/>
    <n v="176196"/>
    <n v="60.425889350496043"/>
    <n v="27081"/>
    <n v="10646800"/>
    <n v="4.0686598557692308"/>
    <n v="393.14648646652637"/>
    <n v="5678"/>
  </r>
  <r>
    <s v="Jun"/>
    <x v="3"/>
    <s v="Twitter"/>
    <n v="9984"/>
    <n v="1330"/>
    <n v="184850"/>
    <n v="57.524479307546663"/>
    <n v="44947"/>
    <n v="10633400"/>
    <n v="4.5019030448717947"/>
    <n v="236.57641221883551"/>
    <n v="8654"/>
  </r>
  <r>
    <s v="Jun"/>
    <x v="3"/>
    <s v="Instagram"/>
    <n v="5259"/>
    <n v="374"/>
    <n v="189735"/>
    <n v="14.827522597306769"/>
    <n v="19596"/>
    <n v="2813300"/>
    <n v="3.7261836851112378"/>
    <n v="143.56501326801387"/>
    <n v="4885"/>
  </r>
  <r>
    <s v="Jun"/>
    <x v="3"/>
    <s v="YouTube"/>
    <n v="9286"/>
    <n v="633"/>
    <n v="198388"/>
    <n v="5.4343004617214756"/>
    <n v="48019"/>
    <n v="1078100"/>
    <n v="5.1711178117596379"/>
    <n v="22.451529602865531"/>
    <n v="8653"/>
  </r>
  <r>
    <s v="Jun"/>
    <x v="3"/>
    <s v="Twitter"/>
    <n v="6901"/>
    <n v="471"/>
    <n v="204818"/>
    <n v="60.827661631301943"/>
    <n v="52003"/>
    <n v="12458600.000000002"/>
    <n v="7.5355745544124044"/>
    <n v="239.57463992461976"/>
    <n v="6430"/>
  </r>
  <r>
    <s v="Jul"/>
    <x v="4"/>
    <s v="LinkedIn"/>
    <n v="5917"/>
    <n v="475"/>
    <n v="210260"/>
    <n v="17.894035955483691"/>
    <n v="28313"/>
    <n v="3762400.0000000009"/>
    <n v="4.7850261957072844"/>
    <n v="132.88595344894574"/>
    <n v="5442"/>
  </r>
  <r>
    <s v="Jul"/>
    <x v="4"/>
    <s v="Twitter"/>
    <n v="9429"/>
    <n v="966"/>
    <n v="218723"/>
    <n v="7.6914636320825887"/>
    <n v="57639"/>
    <n v="1682300"/>
    <n v="6.1129494113903915"/>
    <n v="29.186835302486163"/>
    <n v="8463"/>
  </r>
  <r>
    <s v="Jul"/>
    <x v="4"/>
    <s v="Instagram"/>
    <n v="3530"/>
    <n v="328"/>
    <n v="221925"/>
    <n v="12.8372197814577"/>
    <n v="11013"/>
    <n v="2848900"/>
    <n v="3.1198300283286118"/>
    <n v="258.68519022972851"/>
    <n v="3202"/>
  </r>
  <r>
    <s v="Jul"/>
    <x v="4"/>
    <s v="Instagram"/>
    <n v="2960"/>
    <n v="234"/>
    <n v="224651"/>
    <n v="17.41278694508371"/>
    <n v="59378"/>
    <n v="3911800.0000000005"/>
    <n v="20.060135135135134"/>
    <n v="65.879618714001822"/>
    <n v="2726"/>
  </r>
  <r>
    <s v="Jul"/>
    <x v="5"/>
    <s v="Twitter"/>
    <n v="8045"/>
    <n v="894"/>
    <n v="231802"/>
    <n v="47.634187798207087"/>
    <n v="33705"/>
    <n v="11041700"/>
    <n v="4.1895587321317587"/>
    <n v="327.59827918706424"/>
    <n v="7151"/>
  </r>
  <r>
    <s v="Jul"/>
    <x v="5"/>
    <s v="LinkedIn"/>
    <n v="2048"/>
    <n v="130"/>
    <n v="233720"/>
    <n v="39.284614068115687"/>
    <n v="11828"/>
    <n v="9181599.9999999981"/>
    <n v="5.775390625"/>
    <n v="776.25972269191732"/>
    <n v="1918"/>
  </r>
  <r>
    <s v="Jul"/>
    <x v="5"/>
    <s v="LinkedIn"/>
    <n v="6772"/>
    <n v="536"/>
    <n v="239956"/>
    <n v="9.8205504342462788"/>
    <n v="17909"/>
    <n v="2356500"/>
    <n v="2.6445658594211459"/>
    <n v="131.58188620246804"/>
    <n v="6236"/>
  </r>
  <r>
    <s v="Jul"/>
    <x v="5"/>
    <s v="LinkedIn"/>
    <n v="3529"/>
    <n v="305"/>
    <n v="243180"/>
    <n v="41.606628834608109"/>
    <n v="48356"/>
    <n v="10117900"/>
    <n v="13.702465287616889"/>
    <n v="209.23773678550748"/>
    <n v="3224"/>
  </r>
  <r>
    <s v="Jul"/>
    <x v="6"/>
    <s v="Instagram"/>
    <n v="3964"/>
    <n v="378"/>
    <n v="246766"/>
    <n v="13.6355899921383"/>
    <n v="23109"/>
    <n v="3364799.9999999995"/>
    <n v="5.8297174571140262"/>
    <n v="145.6056082045956"/>
    <n v="3586"/>
  </r>
  <r>
    <s v="Jul"/>
    <x v="6"/>
    <s v="Twitter"/>
    <n v="8137"/>
    <n v="1045"/>
    <n v="253858"/>
    <n v="20.47246886054408"/>
    <n v="12023"/>
    <n v="5197099.9999999991"/>
    <n v="1.4775715865798205"/>
    <n v="432.26316227231132"/>
    <n v="7092"/>
  </r>
  <r>
    <s v="Jul"/>
    <x v="6"/>
    <s v="YouTube"/>
    <n v="1963"/>
    <n v="137"/>
    <n v="255684"/>
    <n v="11.2083665774941"/>
    <n v="24537"/>
    <n v="2865800.0000000014"/>
    <n v="12.499745287824759"/>
    <n v="116.79504421893472"/>
    <n v="1826"/>
  </r>
  <r>
    <s v="Jul"/>
    <x v="6"/>
    <s v="Instagram"/>
    <n v="1536"/>
    <n v="155"/>
    <n v="257065"/>
    <n v="12.15762550327738"/>
    <n v="36661"/>
    <n v="3125299.9999999995"/>
    <n v="23.867838541666668"/>
    <n v="85.24862933362428"/>
    <n v="1381"/>
  </r>
  <r>
    <s v="Jul"/>
    <x v="7"/>
    <s v="LinkedIn"/>
    <n v="8340"/>
    <n v="911"/>
    <n v="264494"/>
    <n v="37.302925586213682"/>
    <n v="48659"/>
    <n v="9866400.0000000019"/>
    <n v="5.834412470023981"/>
    <n v="202.76618919418817"/>
    <n v="7429"/>
  </r>
  <r>
    <s v="Jul"/>
    <x v="7"/>
    <s v="Twitter"/>
    <n v="8179"/>
    <n v="446"/>
    <n v="272227"/>
    <n v="41.82171496581897"/>
    <n v="43848"/>
    <n v="11385000"/>
    <n v="5.3610465827118228"/>
    <n v="259.64696223316912"/>
    <n v="7733"/>
  </r>
  <r>
    <s v="Jul"/>
    <x v="7"/>
    <s v="LinkedIn"/>
    <n v="8967"/>
    <n v="993"/>
    <n v="280201"/>
    <n v="52.792102811910027"/>
    <n v="47804"/>
    <n v="14792400.000000002"/>
    <n v="5.331102932976469"/>
    <n v="309.43854070789058"/>
    <n v="7974"/>
  </r>
  <r>
    <s v="Jul"/>
    <x v="7"/>
    <s v="YouTube"/>
    <n v="9734"/>
    <n v="652"/>
    <n v="289283"/>
    <n v="49.647922622483861"/>
    <n v="25379"/>
    <n v="14362299.999999998"/>
    <n v="2.6072529278816519"/>
    <n v="565.91276252019384"/>
    <n v="9082"/>
  </r>
  <r>
    <s v="Jul"/>
    <x v="8"/>
    <s v="LinkedIn"/>
    <n v="1845"/>
    <n v="104"/>
    <n v="291024"/>
    <n v="28.158158777282971"/>
    <n v="37766"/>
    <n v="8194699.9999999991"/>
    <n v="20.469376693766936"/>
    <n v="216.98617804374302"/>
    <n v="1741"/>
  </r>
  <r>
    <s v="Jul"/>
    <x v="8"/>
    <s v="LinkedIn"/>
    <n v="6777"/>
    <n v="981"/>
    <n v="296820"/>
    <n v="23.920557913887201"/>
    <n v="53590"/>
    <n v="7100099.9999999991"/>
    <n v="7.9076287442821309"/>
    <n v="132.48927038626607"/>
    <n v="5796"/>
  </r>
  <r>
    <s v="Jul"/>
    <x v="8"/>
    <s v="YouTube"/>
    <n v="4036"/>
    <n v="591"/>
    <n v="300265"/>
    <n v="44.219272975538267"/>
    <n v="12563"/>
    <n v="13277499.999999998"/>
    <n v="3.1127353815659067"/>
    <n v="1056.8733582742973"/>
    <n v="3445"/>
  </r>
  <r>
    <s v="Jul"/>
    <x v="8"/>
    <s v="Twitter"/>
    <n v="6947"/>
    <n v="908"/>
    <n v="306304"/>
    <n v="14.117673944839121"/>
    <n v="46060"/>
    <n v="4324300.0000000019"/>
    <n v="6.6302000863682169"/>
    <n v="93.884064264003513"/>
    <n v="6039"/>
  </r>
  <r>
    <s v="Aug"/>
    <x v="9"/>
    <s v="Instagram"/>
    <n v="3494"/>
    <n v="281"/>
    <n v="309517"/>
    <n v="27.765518533715429"/>
    <n v="39197"/>
    <n v="8593899.9999999981"/>
    <n v="11.218374356038924"/>
    <n v="219.24892211138604"/>
    <n v="3213"/>
  </r>
  <r>
    <s v="Aug"/>
    <x v="9"/>
    <s v="Twitter"/>
    <n v="3719"/>
    <n v="222"/>
    <n v="313014"/>
    <n v="21.669318305251519"/>
    <n v="13586"/>
    <n v="6782799.9999999991"/>
    <n v="3.6531325625168054"/>
    <n v="499.24922714559096"/>
    <n v="3497"/>
  </r>
  <r>
    <s v="Aug"/>
    <x v="9"/>
    <s v="YouTube"/>
    <n v="2884"/>
    <n v="341"/>
    <n v="315557"/>
    <n v="46.999749649033298"/>
    <n v="26087"/>
    <n v="14831100"/>
    <n v="9.0454230235783637"/>
    <n v="568.52455245907925"/>
    <n v="2543"/>
  </r>
  <r>
    <s v="Aug"/>
    <x v="9"/>
    <s v="LinkedIn"/>
    <n v="5349"/>
    <n v="502"/>
    <n v="320404"/>
    <n v="5.2152906954969351"/>
    <n v="58868"/>
    <n v="1671000"/>
    <n v="11.005421574126006"/>
    <n v="28.385540531358291"/>
    <n v="4847"/>
  </r>
  <r>
    <s v="Aug"/>
    <x v="10"/>
    <s v="Twitter"/>
    <n v="6179"/>
    <n v="384"/>
    <n v="326199"/>
    <n v="14.71218489327067"/>
    <n v="33225"/>
    <n v="4799099.9999999991"/>
    <n v="5.3770836704968445"/>
    <n v="144.44243792325054"/>
    <n v="5795"/>
  </r>
  <r>
    <s v="Aug"/>
    <x v="10"/>
    <s v="Instagram"/>
    <n v="7610"/>
    <n v="757"/>
    <n v="333052"/>
    <n v="44.450416151231643"/>
    <n v="39750"/>
    <n v="14804300.000000002"/>
    <n v="5.2233902759526938"/>
    <n v="372.4352201257862"/>
    <n v="6853"/>
  </r>
  <r>
    <s v="Aug"/>
    <x v="10"/>
    <s v="YouTube"/>
    <n v="7430"/>
    <n v="397"/>
    <n v="340085"/>
    <n v="28.065042562888689"/>
    <n v="16643"/>
    <n v="9544500"/>
    <n v="2.2399730820995964"/>
    <n v="573.48434777383886"/>
    <n v="7033"/>
  </r>
  <r>
    <s v="Aug"/>
    <x v="10"/>
    <s v="Twitter"/>
    <n v="8154"/>
    <n v="1149"/>
    <n v="347090"/>
    <n v="26.003918292085629"/>
    <n v="37523"/>
    <n v="9025700.0000000019"/>
    <n v="4.6017905322541086"/>
    <n v="240.53780348053198"/>
    <n v="7005"/>
  </r>
  <r>
    <s v="Aug"/>
    <x v="11"/>
    <s v="Instagram"/>
    <n v="7488"/>
    <n v="568"/>
    <n v="354010"/>
    <n v="13.47730290104799"/>
    <n v="46727"/>
    <n v="4771099.9999999991"/>
    <n v="6.2402510683760681"/>
    <n v="102.10584886682216"/>
    <n v="6920"/>
  </r>
  <r>
    <s v="Aug"/>
    <x v="11"/>
    <s v="YouTube"/>
    <n v="5737"/>
    <n v="666"/>
    <n v="359081"/>
    <n v="4.6034181702735593"/>
    <n v="21005"/>
    <n v="1653000"/>
    <n v="3.6613212480390449"/>
    <n v="78.695548678885984"/>
    <n v="5071"/>
  </r>
  <r>
    <s v="Aug"/>
    <x v="11"/>
    <s v="Instagram"/>
    <n v="7525"/>
    <n v="610"/>
    <n v="365996"/>
    <n v="5.7694619613329108"/>
    <n v="53543"/>
    <n v="2111600"/>
    <n v="7.1153488372093019"/>
    <n v="39.437461479558486"/>
    <n v="6915"/>
  </r>
  <r>
    <s v="Aug"/>
    <x v="11"/>
    <s v="YouTube"/>
    <n v="4850"/>
    <n v="494"/>
    <n v="370352"/>
    <n v="20.46539508359615"/>
    <n v="10161"/>
    <n v="7579400.0000000009"/>
    <n v="2.0950515463917525"/>
    <n v="745.93051864973927"/>
    <n v="4356"/>
  </r>
  <r>
    <s v="Aug"/>
    <x v="12"/>
    <s v="LinkedIn"/>
    <n v="1689"/>
    <n v="176"/>
    <n v="371865"/>
    <n v="38.012181840183942"/>
    <n v="26029"/>
    <n v="14135400.000000002"/>
    <n v="15.410894020130254"/>
    <n v="543.06350608936191"/>
    <n v="1513"/>
  </r>
  <r>
    <s v="Aug"/>
    <x v="12"/>
    <s v="Twitter"/>
    <n v="6175"/>
    <n v="422"/>
    <n v="377618"/>
    <n v="37.86101298137271"/>
    <n v="59745"/>
    <n v="14297000"/>
    <n v="9.6753036437246962"/>
    <n v="239.30035986275001"/>
    <n v="5753"/>
  </r>
  <r>
    <s v="Aug"/>
    <x v="12"/>
    <s v="Instagram"/>
    <n v="9648"/>
    <n v="1417"/>
    <n v="385849"/>
    <n v="3.6633501706626168"/>
    <n v="24226"/>
    <n v="1413500"/>
    <n v="2.5109867330016584"/>
    <n v="58.346404689176914"/>
    <n v="8231"/>
  </r>
  <r>
    <s v="Aug"/>
    <x v="12"/>
    <s v="YouTube"/>
    <n v="6078"/>
    <n v="775"/>
    <n v="391152"/>
    <n v="37.760512537325639"/>
    <n v="38731"/>
    <n v="14770099.999999998"/>
    <n v="6.3723264231655152"/>
    <n v="381.35085590353975"/>
    <n v="5303"/>
  </r>
  <r>
    <s v="Sep"/>
    <x v="13"/>
    <s v="Instagram"/>
    <n v="6448"/>
    <n v="928"/>
    <n v="396672"/>
    <n v="30.118586640851881"/>
    <n v="53922"/>
    <n v="11947199.999999996"/>
    <n v="8.3625930521091814"/>
    <n v="221.56448202959825"/>
    <n v="5520"/>
  </r>
  <r>
    <s v="Sep"/>
    <x v="13"/>
    <s v="Instagram"/>
    <n v="2179"/>
    <n v="303"/>
    <n v="398548"/>
    <n v="33.909842729106657"/>
    <n v="54848"/>
    <n v="13514700"/>
    <n v="25.171179440110141"/>
    <n v="246.40278588098016"/>
    <n v="1876"/>
  </r>
  <r>
    <s v="Sep"/>
    <x v="13"/>
    <s v="Twitter"/>
    <n v="7406"/>
    <n v="813"/>
    <n v="405141"/>
    <n v="24.457411123534769"/>
    <n v="13390"/>
    <n v="9908700"/>
    <n v="1.8079935187685661"/>
    <n v="740.0074682598954"/>
    <n v="6593"/>
  </r>
  <r>
    <s v="Sep"/>
    <x v="13"/>
    <s v="LinkedIn"/>
    <n v="9591"/>
    <n v="1363"/>
    <n v="413369"/>
    <n v="10.494255737609739"/>
    <n v="15997"/>
    <n v="4338000"/>
    <n v="1.6679178396413303"/>
    <n v="271.17584547102581"/>
    <n v="8228"/>
  </r>
  <r>
    <s v="Sep"/>
    <x v="14"/>
    <s v="Instagram"/>
    <n v="7907"/>
    <n v="465"/>
    <n v="420811"/>
    <n v="33.257448118038738"/>
    <n v="22693"/>
    <n v="13995100"/>
    <n v="2.8699886176805363"/>
    <n v="616.71440532322742"/>
    <n v="7442"/>
  </r>
  <r>
    <s v="Sep"/>
    <x v="14"/>
    <s v="YouTube"/>
    <n v="9800"/>
    <n v="682"/>
    <n v="429929"/>
    <n v="6.2966210699906267"/>
    <n v="59815"/>
    <n v="2707100"/>
    <n v="6.1035714285714286"/>
    <n v="45.25787845858062"/>
    <n v="9118"/>
  </r>
  <r>
    <s v="Sep"/>
    <x v="14"/>
    <s v="YouTube"/>
    <n v="2638"/>
    <n v="143"/>
    <n v="432424"/>
    <n v="6.9547481175882924"/>
    <n v="52092"/>
    <n v="3007399.9999999995"/>
    <n v="19.746777862016678"/>
    <n v="57.732473316440135"/>
    <n v="2495"/>
  </r>
  <r>
    <s v="Sep"/>
    <x v="14"/>
    <s v="LinkedIn"/>
    <n v="6671"/>
    <n v="550"/>
    <n v="438545"/>
    <n v="17.750287883797562"/>
    <n v="10541"/>
    <n v="7784300.0000000019"/>
    <n v="1.5801229201019338"/>
    <n v="738.47832273977815"/>
    <n v="6121"/>
  </r>
  <r>
    <s v="Sep"/>
    <x v="15"/>
    <s v="YouTube"/>
    <n v="7928"/>
    <n v="704"/>
    <n v="445769"/>
    <n v="11.194362999670229"/>
    <n v="31817"/>
    <n v="4990099.9999999981"/>
    <n v="4.0132441977800202"/>
    <n v="156.83753968004521"/>
    <n v="7224"/>
  </r>
  <r>
    <s v="Sep"/>
    <x v="15"/>
    <s v="LinkedIn"/>
    <n v="2382"/>
    <n v="183"/>
    <n v="447968"/>
    <n v="4.7335970426459033"/>
    <n v="47861"/>
    <n v="2120500"/>
    <n v="20.092779177162047"/>
    <n v="44.305384342157495"/>
    <n v="2199"/>
  </r>
  <r>
    <s v="Sep"/>
    <x v="15"/>
    <s v="YouTube"/>
    <n v="2403"/>
    <n v="319"/>
    <n v="450052"/>
    <n v="29.92120910472568"/>
    <n v="23428"/>
    <n v="13466100.000000002"/>
    <n v="9.7494798168955477"/>
    <n v="574.78658016049178"/>
    <n v="2084"/>
  </r>
  <r>
    <s v="Sep"/>
    <x v="15"/>
    <s v="Twitter"/>
    <n v="4292"/>
    <n v="367"/>
    <n v="453977"/>
    <n v="3.5037017293827661"/>
    <n v="53934"/>
    <n v="1590600"/>
    <n v="12.566169617893756"/>
    <n v="29.491600845477805"/>
    <n v="3925"/>
  </r>
  <r>
    <s v="Sep"/>
    <x v="16"/>
    <s v="Instagram"/>
    <n v="1419"/>
    <n v="110"/>
    <n v="455286"/>
    <n v="31.554451487636339"/>
    <n v="58831"/>
    <n v="14366299.999999998"/>
    <n v="41.459478505990134"/>
    <n v="244.19608709693867"/>
    <n v="1309"/>
  </r>
  <r>
    <s v="Sep"/>
    <x v="16"/>
    <s v="Twitter"/>
    <n v="5517"/>
    <n v="575"/>
    <n v="460228"/>
    <n v="29.45844233727631"/>
    <n v="20258"/>
    <n v="13557600.000000002"/>
    <n v="3.6719231466376656"/>
    <n v="669.24671734623371"/>
    <n v="4942"/>
  </r>
  <r>
    <s v="Sep"/>
    <x v="16"/>
    <s v="Instagram"/>
    <n v="4302"/>
    <n v="275"/>
    <n v="464255"/>
    <n v="15.72131694865968"/>
    <n v="26044"/>
    <n v="7298700"/>
    <n v="6.0539284053928402"/>
    <n v="280.24497005068343"/>
    <n v="4027"/>
  </r>
  <r>
    <s v="Sep"/>
    <x v="16"/>
    <s v="Instagram"/>
    <n v="8857"/>
    <n v="1153"/>
    <n v="471959"/>
    <n v="19.214592793018038"/>
    <n v="39411"/>
    <n v="9068500"/>
    <n v="4.4497008016258324"/>
    <n v="230.10073329781025"/>
    <n v="7704"/>
  </r>
  <r>
    <s v="Sep"/>
    <x v="17"/>
    <s v="Instagram"/>
    <n v="8870"/>
    <n v="509"/>
    <n v="480320"/>
    <n v="25.077864756828781"/>
    <n v="15469"/>
    <n v="12045400"/>
    <n v="1.743968432919955"/>
    <n v="778.67994052621373"/>
    <n v="8361"/>
  </r>
  <r>
    <s v="Sep"/>
    <x v="17"/>
    <s v="Twitter"/>
    <n v="6693"/>
    <n v="995"/>
    <n v="486018"/>
    <n v="23.761877132122681"/>
    <n v="38854"/>
    <n v="11548700.000000002"/>
    <n v="5.805169580158374"/>
    <n v="297.23323209965514"/>
    <n v="5698"/>
  </r>
  <r>
    <s v="Sep"/>
    <x v="17"/>
    <s v="Instagram"/>
    <n v="1767"/>
    <n v="224"/>
    <n v="487561"/>
    <n v="13.208603641390511"/>
    <n v="16256"/>
    <n v="6439999.9999999991"/>
    <n v="9.1997736276174304"/>
    <n v="396.16141732283461"/>
    <n v="1543"/>
  </r>
  <r>
    <s v="Sep"/>
    <x v="17"/>
    <s v="Twitter"/>
    <n v="3044"/>
    <n v="212"/>
    <n v="490393"/>
    <n v="8.5343795690395261"/>
    <n v="20720"/>
    <n v="4185200.0000000005"/>
    <n v="6.8068331143232585"/>
    <n v="201.98841698841701"/>
    <n v="2832"/>
  </r>
  <r>
    <s v="Oct"/>
    <x v="18"/>
    <s v="LinkedIn"/>
    <n v="2549"/>
    <n v="128"/>
    <n v="492814"/>
    <n v="12.734216154573531"/>
    <n v="43937"/>
    <n v="6275600"/>
    <n v="17.23695566888976"/>
    <n v="142.83178186949496"/>
    <n v="2421"/>
  </r>
  <r>
    <s v="Oct"/>
    <x v="18"/>
    <s v="YouTube"/>
    <n v="7140"/>
    <n v="939"/>
    <n v="499015"/>
    <n v="25.120888149654821"/>
    <n v="43598"/>
    <n v="12535700"/>
    <n v="6.106162464985994"/>
    <n v="287.52924446075508"/>
    <n v="6201"/>
  </r>
  <r>
    <s v="Oct"/>
    <x v="18"/>
    <s v="YouTube"/>
    <n v="4716"/>
    <n v="569"/>
    <n v="503162"/>
    <n v="25.64820077827817"/>
    <n v="11651"/>
    <n v="12905200"/>
    <n v="2.4705258693808312"/>
    <n v="1107.6474122392929"/>
    <n v="4147"/>
  </r>
  <r>
    <s v="Oct"/>
    <x v="18"/>
    <s v="Instagram"/>
    <n v="5481"/>
    <n v="673"/>
    <n v="507970"/>
    <n v="13.08758391243577"/>
    <n v="29194"/>
    <n v="6648099.9999999981"/>
    <n v="5.3264002919175333"/>
    <n v="227.72144961293409"/>
    <n v="4808"/>
  </r>
  <r>
    <s v="Oct"/>
    <x v="19"/>
    <s v="Twitter"/>
    <n v="8898"/>
    <n v="1131"/>
    <n v="515737"/>
    <n v="2.1877429775253669"/>
    <n v="35051"/>
    <n v="1128300.0000000002"/>
    <n v="3.939199820184311"/>
    <n v="32.190237083107476"/>
    <n v="7767"/>
  </r>
  <r>
    <s v="Oct"/>
    <x v="19"/>
    <s v="YouTube"/>
    <n v="7548"/>
    <n v="433"/>
    <n v="522852"/>
    <n v="8.3562843787534522"/>
    <n v="37386"/>
    <n v="4369100"/>
    <n v="4.9531001589825117"/>
    <n v="116.86460172256994"/>
    <n v="7115"/>
  </r>
  <r>
    <s v="Oct"/>
    <x v="19"/>
    <s v="Twitter"/>
    <n v="3293"/>
    <n v="282"/>
    <n v="525863"/>
    <n v="27.040693108281051"/>
    <n v="19518"/>
    <n v="14219699.999999998"/>
    <n v="5.9271181293653203"/>
    <n v="728.54288349216097"/>
    <n v="3011"/>
  </r>
  <r>
    <s v="Oct"/>
    <x v="19"/>
    <s v="Twitter"/>
    <n v="5837"/>
    <n v="359"/>
    <n v="531341"/>
    <n v="6.8073045370110723"/>
    <n v="56026"/>
    <n v="3617000"/>
    <n v="9.5984238478670552"/>
    <n v="64.55931174811694"/>
    <n v="5478"/>
  </r>
  <r>
    <s v="Oct"/>
    <x v="20"/>
    <s v="Instagram"/>
    <n v="8758"/>
    <n v="1193"/>
    <n v="538906"/>
    <n v="3.4213758985797149"/>
    <n v="26184"/>
    <n v="1843799.9999999998"/>
    <n v="2.9897236812057546"/>
    <n v="70.417048579285051"/>
    <n v="7565"/>
  </r>
  <r>
    <s v="Oct"/>
    <x v="20"/>
    <s v="YouTube"/>
    <n v="7793"/>
    <n v="875"/>
    <n v="545824"/>
    <n v="5.5136820660139527"/>
    <n v="43787"/>
    <n v="3009499.9999999995"/>
    <n v="5.6187604260233543"/>
    <n v="68.730445109279003"/>
    <n v="6918"/>
  </r>
  <r>
    <s v="Oct"/>
    <x v="20"/>
    <s v="Instagram"/>
    <n v="8638"/>
    <n v="717"/>
    <n v="553745"/>
    <n v="26.921416897669499"/>
    <n v="31621"/>
    <n v="14907599.999999996"/>
    <n v="3.6606853438295901"/>
    <n v="471.44619082255451"/>
    <n v="7921"/>
  </r>
  <r>
    <s v="Oct"/>
    <x v="20"/>
    <s v="Instagram"/>
    <n v="8993"/>
    <n v="506"/>
    <n v="562232"/>
    <n v="3.5131404829323132"/>
    <n v="20028"/>
    <n v="1975200.0000000002"/>
    <n v="2.2270654953852995"/>
    <n v="98.621929298981442"/>
    <n v="8487"/>
  </r>
  <r>
    <s v="Oct"/>
    <x v="21"/>
    <s v="YouTube"/>
    <n v="7007"/>
    <n v="568"/>
    <n v="568671"/>
    <n v="11.50507059442103"/>
    <n v="22448"/>
    <n v="6542600.0000000009"/>
    <n v="3.2036534893677753"/>
    <n v="291.45580898075559"/>
    <n v="6439"/>
  </r>
  <r>
    <s v="Oct"/>
    <x v="21"/>
    <s v="YouTube"/>
    <n v="6542"/>
    <n v="539"/>
    <n v="574674"/>
    <n v="6.4069368024305948"/>
    <n v="55253"/>
    <n v="3681899.9999999995"/>
    <n v="8.4458881076123511"/>
    <n v="66.63710567751977"/>
    <n v="6003"/>
  </r>
  <r>
    <s v="Oct"/>
    <x v="21"/>
    <s v="LinkedIn"/>
    <n v="7356"/>
    <n v="904"/>
    <n v="581126"/>
    <n v="17.560907617280929"/>
    <n v="44051"/>
    <n v="10205099.999999996"/>
    <n v="5.9884448069603042"/>
    <n v="231.66556945358781"/>
    <n v="6452"/>
  </r>
  <r>
    <s v="Oct"/>
    <x v="21"/>
    <s v="LinkedIn"/>
    <n v="9433"/>
    <n v="1073"/>
    <n v="589486"/>
    <n v="7.2934726185185053"/>
    <n v="59811"/>
    <n v="4299400"/>
    <n v="6.3406127424997347"/>
    <n v="71.883098426710802"/>
    <n v="8360"/>
  </r>
  <r>
    <s v="Nov"/>
    <x v="22"/>
    <s v="Twitter"/>
    <n v="8380"/>
    <n v="1162"/>
    <n v="596704"/>
    <n v="18.05853488496809"/>
    <n v="40447"/>
    <n v="10775599.999999998"/>
    <n v="4.8266109785202866"/>
    <n v="266.41283655153654"/>
    <n v="7218"/>
  </r>
  <r>
    <s v="Nov"/>
    <x v="22"/>
    <s v="YouTube"/>
    <n v="3385"/>
    <n v="329"/>
    <n v="599760"/>
    <n v="17.61788048552755"/>
    <n v="28394"/>
    <n v="10566500.000000004"/>
    <n v="8.3881831610044308"/>
    <n v="372.13847996055517"/>
    <n v="3056"/>
  </r>
  <r>
    <s v="Nov"/>
    <x v="22"/>
    <s v="LinkedIn"/>
    <n v="5268"/>
    <n v="326"/>
    <n v="604702"/>
    <n v="23.435841125050029"/>
    <n v="44501"/>
    <n v="14171700.000000002"/>
    <n v="8.4474183750949123"/>
    <n v="318.45801217950162"/>
    <n v="4942"/>
  </r>
  <r>
    <s v="Nov"/>
    <x v="22"/>
    <s v="Twitter"/>
    <n v="1671"/>
    <n v="202"/>
    <n v="606171"/>
    <n v="15.150015424690389"/>
    <n v="40254"/>
    <n v="9183499.9999999981"/>
    <n v="24.089766606822263"/>
    <n v="228.13881850250903"/>
    <n v="1469"/>
  </r>
  <r>
    <s v="Nov"/>
    <x v="23"/>
    <s v="Twitter"/>
    <n v="1163"/>
    <n v="146"/>
    <n v="607188"/>
    <n v="21.77776899411715"/>
    <n v="28509"/>
    <n v="13223200.000000004"/>
    <n v="24.513327601031815"/>
    <n v="463.82545862710032"/>
    <n v="1017"/>
  </r>
  <r>
    <s v="Nov"/>
    <x v="23"/>
    <s v="Twitter"/>
    <n v="9656"/>
    <n v="1024"/>
    <n v="615820"/>
    <n v="8.7252768666168681"/>
    <n v="58998"/>
    <n v="5373200"/>
    <n v="6.1099834299917148"/>
    <n v="91.074273704193359"/>
    <n v="8632"/>
  </r>
  <r>
    <s v="Nov"/>
    <x v="23"/>
    <s v="LinkedIn"/>
    <n v="5592"/>
    <n v="710"/>
    <n v="620702"/>
    <n v="9.07118069540617"/>
    <n v="24472"/>
    <n v="5630500.0000000009"/>
    <n v="4.3762517882689558"/>
    <n v="230.07927427263814"/>
    <n v="4882"/>
  </r>
  <r>
    <s v="Nov"/>
    <x v="23"/>
    <s v="YouTube"/>
    <n v="5795"/>
    <n v="575"/>
    <n v="625922"/>
    <n v="3.0908004511744269"/>
    <n v="55657"/>
    <n v="1934599.9999999995"/>
    <n v="9.604314063848145"/>
    <n v="34.759329464398"/>
    <n v="5220"/>
  </r>
  <r>
    <s v="Nov"/>
    <x v="24"/>
    <s v="Instagram"/>
    <n v="5798"/>
    <n v="592"/>
    <n v="631128"/>
    <n v="1.6774727155188811"/>
    <n v="13471"/>
    <n v="1058700.0000000005"/>
    <n v="2.3233873749568819"/>
    <n v="78.591047435231275"/>
    <n v="5206"/>
  </r>
  <r>
    <s v="Nov"/>
    <x v="24"/>
    <s v="Twitter"/>
    <n v="7036"/>
    <n v="652"/>
    <n v="637512"/>
    <n v="3.5705994553828009"/>
    <n v="51796"/>
    <n v="2276300"/>
    <n v="7.3615690733371233"/>
    <n v="43.947409066337165"/>
    <n v="6384"/>
  </r>
  <r>
    <s v="Nov"/>
    <x v="24"/>
    <s v="LinkedIn"/>
    <n v="3355"/>
    <n v="176"/>
    <n v="640691"/>
    <n v="12.426427091999111"/>
    <n v="40268"/>
    <n v="7961500.0000000028"/>
    <n v="12.002384500745157"/>
    <n v="197.71282407867295"/>
    <n v="3179"/>
  </r>
  <r>
    <s v="Nov"/>
    <x v="24"/>
    <s v="LinkedIn"/>
    <n v="6887"/>
    <n v="418"/>
    <n v="647160"/>
    <n v="20.240280610668151"/>
    <n v="18329"/>
    <n v="13098700"/>
    <n v="2.6613910265718022"/>
    <n v="714.64346118173387"/>
    <n v="6469"/>
  </r>
  <r>
    <s v="Nov"/>
    <x v="25"/>
    <s v="Instagram"/>
    <n v="8961"/>
    <n v="476"/>
    <n v="655645"/>
    <n v="15.458517947974901"/>
    <n v="44865"/>
    <n v="10135300.000000004"/>
    <n v="5.0066956812855707"/>
    <n v="225.90660871503408"/>
    <n v="8485"/>
  </r>
  <r>
    <s v="Nov"/>
    <x v="25"/>
    <s v="Instagram"/>
    <n v="6827"/>
    <n v="775"/>
    <n v="661697"/>
    <n v="15.96622018839439"/>
    <n v="56850"/>
    <n v="10564800.000000002"/>
    <n v="8.3272301157170059"/>
    <n v="185.83641160949873"/>
    <n v="6052"/>
  </r>
  <r>
    <s v="Nov"/>
    <x v="25"/>
    <s v="LinkedIn"/>
    <n v="9737"/>
    <n v="792"/>
    <n v="670642"/>
    <n v="5.301785453341723"/>
    <n v="56698"/>
    <n v="3555600"/>
    <n v="5.8229434117284589"/>
    <n v="62.711206744505979"/>
    <n v="8945"/>
  </r>
  <r>
    <s v="Nov"/>
    <x v="25"/>
    <s v="YouTube"/>
    <n v="5719"/>
    <n v="576"/>
    <n v="675785"/>
    <n v="10.21656296011305"/>
    <n v="38272"/>
    <n v="6904199.9999999972"/>
    <n v="6.6920790347962926"/>
    <n v="180.39820234113705"/>
    <n v="5143"/>
  </r>
  <r>
    <s v="Dec"/>
    <x v="26"/>
    <s v="Instagram"/>
    <n v="1593"/>
    <n v="224"/>
    <n v="677154"/>
    <n v="4.1495730660972248"/>
    <n v="52845"/>
    <n v="2809900"/>
    <n v="33.173258003766477"/>
    <n v="53.17248557100956"/>
    <n v="1369"/>
  </r>
  <r>
    <s v="Dec"/>
    <x v="26"/>
    <s v="LinkedIn"/>
    <n v="5839"/>
    <n v="437"/>
    <n v="682556"/>
    <n v="17.44750613869045"/>
    <n v="16397"/>
    <n v="11908899.999999998"/>
    <n v="2.8081863332762458"/>
    <n v="726.28529609074815"/>
    <n v="5402"/>
  </r>
  <r>
    <s v="Dec"/>
    <x v="26"/>
    <s v="Instagram"/>
    <n v="8394"/>
    <n v="764"/>
    <n v="690186"/>
    <n v="6.3556780346167558"/>
    <n v="42373"/>
    <n v="4386600"/>
    <n v="5.0480104836788184"/>
    <n v="103.52347013428363"/>
    <n v="7630"/>
  </r>
  <r>
    <s v="Dec"/>
    <x v="26"/>
    <s v="YouTube"/>
    <n v="4493"/>
    <n v="564"/>
    <n v="694115"/>
    <n v="16.625487131094989"/>
    <n v="45525"/>
    <n v="11539999.999999998"/>
    <n v="10.132428221678166"/>
    <n v="253.48709500274569"/>
    <n v="3929"/>
  </r>
  <r>
    <s v="Dec"/>
    <x v="27"/>
    <s v="Twitter"/>
    <n v="7164"/>
    <n v="522"/>
    <n v="700757"/>
    <n v="13.449169969047761"/>
    <n v="34570"/>
    <n v="9424600.0000000019"/>
    <n v="4.8255164712451144"/>
    <n v="272.62366213479902"/>
    <n v="6642"/>
  </r>
  <r>
    <s v="Dec"/>
    <x v="27"/>
    <s v="Instagram"/>
    <n v="3672"/>
    <n v="211"/>
    <n v="704218"/>
    <n v="12.35057894004413"/>
    <n v="28284"/>
    <n v="8697499.9999999981"/>
    <n v="7.7026143790849675"/>
    <n v="307.50601046528067"/>
    <n v="3461"/>
  </r>
  <r>
    <s v="Dec"/>
    <x v="27"/>
    <s v="YouTube"/>
    <n v="5200"/>
    <n v="410"/>
    <n v="709008"/>
    <n v="12.913394489201821"/>
    <n v="28994"/>
    <n v="9155700.0000000037"/>
    <n v="5.5757692307692306"/>
    <n v="315.77912671587239"/>
    <n v="4790"/>
  </r>
  <r>
    <s v="Dec"/>
    <x v="27"/>
    <s v="LinkedIn"/>
    <n v="1016"/>
    <n v="67"/>
    <n v="709957"/>
    <n v="20.774215903216671"/>
    <n v="33284"/>
    <n v="14748799.999999998"/>
    <n v="32.759842519685037"/>
    <n v="443.11981732964784"/>
    <n v="949"/>
  </r>
  <r>
    <s v="Dec"/>
    <x v="28"/>
    <s v="Instagram"/>
    <n v="4191"/>
    <n v="599"/>
    <n v="713549"/>
    <n v="11.56416728213479"/>
    <n v="27833"/>
    <n v="8251599.9999999972"/>
    <n v="6.6411357671200193"/>
    <n v="296.46822117630143"/>
    <n v="3592"/>
  </r>
  <r>
    <s v="Dec"/>
    <x v="28"/>
    <s v="Instagram"/>
    <n v="1392"/>
    <n v="182"/>
    <n v="714759"/>
    <n v="5.9603306848881932"/>
    <n v="35122"/>
    <n v="4260200"/>
    <n v="25.231321839080461"/>
    <n v="121.29719264278799"/>
    <n v="1210"/>
  </r>
  <r>
    <s v="Dec"/>
    <x v="28"/>
    <s v="LinkedIn"/>
    <n v="9616"/>
    <n v="1089"/>
    <n v="723286"/>
    <n v="19.25863351426683"/>
    <n v="15017"/>
    <n v="13929499.999999998"/>
    <n v="1.5616680532445923"/>
    <n v="927.58207364986333"/>
    <n v="8527"/>
  </r>
  <r>
    <s v="Dec"/>
    <x v="28"/>
    <s v="Twitter"/>
    <n v="7272"/>
    <n v="997"/>
    <n v="729561"/>
    <n v="13.428486445958599"/>
    <n v="26370"/>
    <n v="9796900.0000000019"/>
    <n v="3.6262376237623761"/>
    <n v="371.51687523701185"/>
    <n v="6275"/>
  </r>
  <r>
    <s v="Dec"/>
    <x v="29"/>
    <s v="LinkedIn"/>
    <n v="1571"/>
    <n v="204"/>
    <n v="730928"/>
    <n v="19.449384891535139"/>
    <n v="39252"/>
    <n v="14216099.999999996"/>
    <n v="24.985359643539148"/>
    <n v="362.17517578722095"/>
    <n v="1367"/>
  </r>
  <r>
    <s v="Dec"/>
    <x v="29"/>
    <s v="Instagram"/>
    <n v="4631"/>
    <n v="317"/>
    <n v="735242"/>
    <n v="1.381177897889402"/>
    <n v="17999"/>
    <n v="1015499.9999999998"/>
    <n v="3.8866335564672858"/>
    <n v="56.4198011000611"/>
    <n v="4314"/>
  </r>
  <r>
    <s v="Dec"/>
    <x v="29"/>
    <s v="LinkedIn"/>
    <n v="7172"/>
    <n v="998"/>
    <n v="741416"/>
    <n v="18.0667803230575"/>
    <n v="32436"/>
    <n v="13395000"/>
    <n v="4.5225878416062466"/>
    <n v="412.96707362190159"/>
    <n v="6174"/>
  </r>
  <r>
    <s v="Dec"/>
    <x v="29"/>
    <s v="YouTube"/>
    <n v="8177"/>
    <n v="849"/>
    <n v="748744"/>
    <n v="10.34986590877523"/>
    <n v="52963"/>
    <n v="7749400.0000000009"/>
    <n v="6.4770698300110068"/>
    <n v="146.3172403375942"/>
    <n v="7328"/>
  </r>
  <r>
    <s v="Dec"/>
    <x v="30"/>
    <s v="LinkedIn"/>
    <n v="9433"/>
    <n v="1233"/>
    <n v="756944"/>
    <n v="11.391727789638329"/>
    <n v="12096"/>
    <n v="8622899.9999999963"/>
    <n v="1.28230679529312"/>
    <n v="712.87202380952351"/>
    <n v="8200"/>
  </r>
  <r>
    <s v="Dec"/>
    <x v="30"/>
    <s v="Instagram"/>
    <n v="4897"/>
    <n v="683"/>
    <n v="761158"/>
    <n v="15.06231294947961"/>
    <n v="58201"/>
    <n v="11464800.000000002"/>
    <n v="11.885031652031856"/>
    <n v="196.9863060772152"/>
    <n v="4214"/>
  </r>
  <r>
    <s v="Dec"/>
    <x v="30"/>
    <s v="LinkedIn"/>
    <n v="9123"/>
    <n v="746"/>
    <n v="769535"/>
    <n v="6.3086149427901264"/>
    <n v="35279"/>
    <n v="4854700"/>
    <n v="3.86703935109065"/>
    <n v="137.60877575895009"/>
    <n v="8377"/>
  </r>
  <r>
    <s v="Dec"/>
    <x v="30"/>
    <s v="Twitter"/>
    <n v="3279"/>
    <n v="200"/>
    <n v="772614"/>
    <n v="5.0212654702089274"/>
    <n v="53363"/>
    <n v="3879500.0000000005"/>
    <n v="16.274168953949374"/>
    <n v="72.700185521803505"/>
    <n v="3079"/>
  </r>
  <r>
    <s v="Jan"/>
    <x v="31"/>
    <s v="LinkedIn"/>
    <n v="9980"/>
    <n v="726"/>
    <n v="781868"/>
    <n v="4.0220344099003924"/>
    <n v="58709"/>
    <n v="3144700"/>
    <n v="5.8826653306613226"/>
    <n v="53.564189476911544"/>
    <n v="9254"/>
  </r>
  <r>
    <s v="Jan"/>
    <x v="31"/>
    <s v="Twitter"/>
    <n v="8451"/>
    <n v="783"/>
    <n v="789536"/>
    <n v="12.407287318121019"/>
    <n v="36201"/>
    <n v="9795999.9999999981"/>
    <n v="4.2836350727724533"/>
    <n v="270.60025966133526"/>
    <n v="7668"/>
  </r>
  <r>
    <s v="Jan"/>
    <x v="31"/>
    <s v="YouTube"/>
    <n v="9906"/>
    <n v="1305"/>
    <n v="798137"/>
    <n v="9.1811305577864442"/>
    <n v="29715"/>
    <n v="7327799.9999999991"/>
    <n v="2.9996971532404602"/>
    <n v="246.60272589601209"/>
    <n v="8601"/>
  </r>
  <r>
    <s v="Jan"/>
    <x v="31"/>
    <s v="Twitter"/>
    <n v="1775"/>
    <n v="241"/>
    <n v="799671"/>
    <n v="8.1379717408784362"/>
    <n v="39309"/>
    <n v="6507700"/>
    <n v="22.145915492957748"/>
    <n v="165.55241802131826"/>
    <n v="1534"/>
  </r>
  <r>
    <s v="Jan"/>
    <x v="32"/>
    <s v="LinkedIn"/>
    <n v="7869"/>
    <n v="398"/>
    <n v="807142"/>
    <n v="15.211945357818079"/>
    <n v="25078"/>
    <n v="12278200"/>
    <n v="3.1869360782818656"/>
    <n v="489.60044660658747"/>
    <n v="7471"/>
  </r>
  <r>
    <s v="Jan"/>
    <x v="32"/>
    <s v="Instagram"/>
    <n v="3247"/>
    <n v="328"/>
    <n v="810061"/>
    <n v="13.941172331466399"/>
    <n v="15105"/>
    <n v="11293200.000000002"/>
    <n v="4.6519864490298737"/>
    <n v="747.64647467725933"/>
    <n v="2919"/>
  </r>
  <r>
    <s v="Jan"/>
    <x v="32"/>
    <s v="Twitter"/>
    <n v="8088"/>
    <n v="742"/>
    <n v="817407"/>
    <n v="14.664542877660701"/>
    <n v="39312"/>
    <n v="11986900"/>
    <n v="4.8605341246290799"/>
    <n v="304.91707366707368"/>
    <n v="7346"/>
  </r>
  <r>
    <s v="Jan"/>
    <x v="32"/>
    <s v="YouTube"/>
    <n v="1078"/>
    <n v="77"/>
    <n v="818408"/>
    <n v="18.236747441373989"/>
    <n v="12839"/>
    <n v="14925100.000000004"/>
    <n v="11.910018552875696"/>
    <n v="1162.4815016745856"/>
    <n v="1001"/>
  </r>
  <r>
    <s v="Jan"/>
    <x v="33"/>
    <s v="Twitter"/>
    <n v="9080"/>
    <n v="562"/>
    <n v="826926"/>
    <n v="7.1083748727213809"/>
    <n v="13384"/>
    <n v="5878100.0000000009"/>
    <n v="1.4740088105726872"/>
    <n v="439.18858338314413"/>
    <n v="8518"/>
  </r>
  <r>
    <s v="Jan"/>
    <x v="33"/>
    <s v="Twitter"/>
    <n v="8099"/>
    <n v="678"/>
    <n v="834347"/>
    <n v="7.6464588474579518"/>
    <n v="53619"/>
    <n v="6379800"/>
    <n v="6.6204469687615752"/>
    <n v="118.98394225927376"/>
    <n v="7421"/>
  </r>
  <r>
    <s v="Jan"/>
    <x v="33"/>
    <s v="Twitter"/>
    <n v="4926"/>
    <n v="710"/>
    <n v="838563"/>
    <n v="12.96217457722318"/>
    <n v="52821"/>
    <n v="10869600.000000002"/>
    <n v="10.722898903775883"/>
    <n v="205.78179133299258"/>
    <n v="4216"/>
  </r>
  <r>
    <s v="Jan"/>
    <x v="33"/>
    <s v="YouTube"/>
    <n v="8340"/>
    <n v="686"/>
    <n v="846217"/>
    <n v="7.201344336027284"/>
    <n v="23493"/>
    <n v="6093900"/>
    <n v="2.816906474820144"/>
    <n v="259.39215936661986"/>
    <n v="7654"/>
  </r>
  <r>
    <s v="Jan"/>
    <x v="34"/>
    <s v="LinkedIn"/>
    <n v="8083"/>
    <n v="823"/>
    <n v="853477"/>
    <n v="4.6300017457998282"/>
    <n v="27069"/>
    <n v="3951600"/>
    <n v="3.3488803662006679"/>
    <n v="145.98248919428127"/>
    <n v="7260"/>
  </r>
  <r>
    <s v="Jan"/>
    <x v="34"/>
    <s v="Twitter"/>
    <n v="7230"/>
    <n v="869"/>
    <n v="859838"/>
    <n v="7.0117859410726204"/>
    <n v="56907"/>
    <n v="6029000"/>
    <n v="7.8709543568464726"/>
    <n v="105.94478710879153"/>
    <n v="6361"/>
  </r>
  <r>
    <s v="Jan"/>
    <x v="34"/>
    <s v="Twitter"/>
    <n v="5940"/>
    <n v="512"/>
    <n v="865266"/>
    <n v="15.7972230504839"/>
    <n v="17531"/>
    <n v="13668800.000000002"/>
    <n v="2.9513468013468014"/>
    <n v="779.69311505333417"/>
    <n v="5428"/>
  </r>
  <r>
    <s v="Jan"/>
    <x v="34"/>
    <s v="Instagram"/>
    <n v="4271"/>
    <n v="628"/>
    <n v="868909"/>
    <n v="11.124410036033691"/>
    <n v="47051"/>
    <n v="9666099.9999999981"/>
    <n v="11.016389604308124"/>
    <n v="205.43877919704147"/>
    <n v="3643"/>
  </r>
  <r>
    <s v="Feb"/>
    <x v="35"/>
    <s v="YouTube"/>
    <n v="4456"/>
    <n v="651"/>
    <n v="872714"/>
    <n v="9.5052903929580594"/>
    <n v="17736"/>
    <n v="8295400"/>
    <n v="3.9802513464991023"/>
    <n v="467.71538114569239"/>
    <n v="3805"/>
  </r>
  <r>
    <s v="Feb"/>
    <x v="35"/>
    <s v="Twitter"/>
    <n v="8788"/>
    <n v="660"/>
    <n v="880842"/>
    <n v="3.7175793161543158"/>
    <n v="17710"/>
    <n v="3274600"/>
    <n v="2.0152480655439233"/>
    <n v="184.901185770751"/>
    <n v="8128"/>
  </r>
  <r>
    <s v="Feb"/>
    <x v="35"/>
    <s v="YouTube"/>
    <n v="9599"/>
    <n v="957"/>
    <n v="889484"/>
    <n v="8.768004820772493"/>
    <n v="11619"/>
    <n v="7799000"/>
    <n v="1.2104385873528491"/>
    <n v="671.22816077115067"/>
    <n v="8642"/>
  </r>
  <r>
    <s v="Feb"/>
    <x v="35"/>
    <s v="Twitter"/>
    <n v="8650"/>
    <n v="692"/>
    <n v="897442"/>
    <n v="7.6673478620345374"/>
    <n v="23975"/>
    <n v="6880999.9999999991"/>
    <n v="2.7716763005780347"/>
    <n v="287.00729927007296"/>
    <n v="7958"/>
  </r>
  <r>
    <s v="Feb"/>
    <x v="36"/>
    <s v="LinkedIn"/>
    <n v="3711"/>
    <n v="291"/>
    <n v="900862"/>
    <n v="14.24879726306582"/>
    <n v="55603"/>
    <n v="12836200"/>
    <n v="14.983292912961465"/>
    <n v="230.85445029944427"/>
    <n v="3420"/>
  </r>
  <r>
    <s v="Feb"/>
    <x v="36"/>
    <s v="LinkedIn"/>
    <n v="2668"/>
    <n v="143"/>
    <n v="903387"/>
    <n v="15.903372530266649"/>
    <n v="33252"/>
    <n v="14366899.999999998"/>
    <n v="12.463268365817092"/>
    <n v="432.06122939973528"/>
    <n v="2525"/>
  </r>
  <r>
    <s v="Feb"/>
    <x v="36"/>
    <s v="Twitter"/>
    <n v="1147"/>
    <n v="127"/>
    <n v="904407"/>
    <n v="1.3997016829812241"/>
    <n v="25261"/>
    <n v="1265900"/>
    <n v="22.023539668700959"/>
    <n v="50.112822136890863"/>
    <n v="1020"/>
  </r>
  <r>
    <s v="Feb"/>
    <x v="36"/>
    <s v="LinkedIn"/>
    <n v="7420"/>
    <n v="743"/>
    <n v="911084"/>
    <n v="10.593534734448189"/>
    <n v="11431"/>
    <n v="9651599.9999999944"/>
    <n v="1.540566037735849"/>
    <n v="844.33557868952801"/>
    <n v="6677"/>
  </r>
  <r>
    <s v="Feb"/>
    <x v="37"/>
    <s v="Twitter"/>
    <n v="1365"/>
    <n v="75"/>
    <n v="912374"/>
    <n v="9.2688963078737441"/>
    <n v="19067"/>
    <n v="8456700"/>
    <n v="13.968498168498169"/>
    <n v="443.52546284155869"/>
    <n v="1290"/>
  </r>
  <r>
    <s v="Feb"/>
    <x v="37"/>
    <s v="LinkedIn"/>
    <n v="5531"/>
    <n v="430"/>
    <n v="917475"/>
    <n v="2.7289026948963189"/>
    <n v="47481"/>
    <n v="2503700"/>
    <n v="8.5845235942867468"/>
    <n v="52.730565910574754"/>
    <n v="5101"/>
  </r>
  <r>
    <s v="Feb"/>
    <x v="37"/>
    <s v="Instagram"/>
    <n v="6330"/>
    <n v="891"/>
    <n v="922914"/>
    <n v="14.789893749580139"/>
    <n v="37037"/>
    <n v="13649800.000000006"/>
    <n v="5.851026856240126"/>
    <n v="368.5449685449687"/>
    <n v="5439"/>
  </r>
  <r>
    <s v="Feb"/>
    <x v="37"/>
    <s v="Instagram"/>
    <n v="6510"/>
    <n v="481"/>
    <n v="928943"/>
    <n v="2.3800168578696428"/>
    <n v="19557"/>
    <n v="2210899.9999999995"/>
    <n v="3.004147465437788"/>
    <n v="113.04903615073884"/>
    <n v="6029"/>
  </r>
  <r>
    <s v="Feb"/>
    <x v="38"/>
    <s v="Instagram"/>
    <n v="9754"/>
    <n v="629"/>
    <n v="938068"/>
    <n v="3.4123325814333292"/>
    <n v="19435"/>
    <n v="3201000.0000000005"/>
    <n v="1.992515890916547"/>
    <n v="164.70285567275536"/>
    <n v="9125"/>
  </r>
  <r>
    <s v="Feb"/>
    <x v="38"/>
    <s v="YouTube"/>
    <n v="9964"/>
    <n v="985"/>
    <n v="947047"/>
    <n v="1.9837452629066989"/>
    <n v="47766"/>
    <n v="1878700.0000000005"/>
    <n v="4.7938578883982332"/>
    <n v="39.33132353556924"/>
    <n v="8979"/>
  </r>
  <r>
    <s v="Feb"/>
    <x v="38"/>
    <s v="YouTube"/>
    <n v="7493"/>
    <n v="1113"/>
    <n v="953427"/>
    <n v="15.684892498324469"/>
    <n v="10162"/>
    <n v="14954400.000000004"/>
    <n v="1.3561991191778995"/>
    <n v="1471.6000787246608"/>
    <n v="6380"/>
  </r>
  <r>
    <s v="Feb"/>
    <x v="38"/>
    <s v="Instagram"/>
    <n v="6439"/>
    <n v="477"/>
    <n v="959389"/>
    <n v="7.4744446725989153"/>
    <n v="44742"/>
    <n v="7170900.0000000009"/>
    <n v="6.9485945022519022"/>
    <n v="160.27222743730724"/>
    <n v="5962"/>
  </r>
  <r>
    <s v="Mar"/>
    <x v="39"/>
    <s v="YouTube"/>
    <n v="7511"/>
    <n v="880"/>
    <n v="966020"/>
    <n v="4.6083932009689246"/>
    <n v="29675"/>
    <n v="4451800.0000000009"/>
    <n v="3.9508720543203304"/>
    <n v="150.01853411962935"/>
    <n v="6631"/>
  </r>
  <r>
    <s v="Mar"/>
    <x v="39"/>
    <s v="LinkedIn"/>
    <n v="8504"/>
    <n v="1072"/>
    <n v="973452"/>
    <n v="6.5651927367759271"/>
    <n v="18461"/>
    <n v="6390900"/>
    <n v="2.1708607714016934"/>
    <n v="346.1838470288717"/>
    <n v="7432"/>
  </r>
  <r>
    <s v="Mar"/>
    <x v="39"/>
    <s v="Twitter"/>
    <n v="2246"/>
    <n v="165"/>
    <n v="975533"/>
    <n v="2.9062061457685191"/>
    <n v="27015"/>
    <n v="2835100.0000000009"/>
    <n v="12.028049866429207"/>
    <n v="104.94540070331301"/>
    <n v="2081"/>
  </r>
  <r>
    <s v="Mar"/>
    <x v="39"/>
    <s v="Twitter"/>
    <n v="4839"/>
    <n v="594"/>
    <n v="979778"/>
    <n v="2.5803804535313102"/>
    <n v="42591"/>
    <n v="2528200"/>
    <n v="8.8016119032858029"/>
    <n v="59.359958676715735"/>
    <n v="4245"/>
  </r>
  <r>
    <s v="Mar"/>
    <x v="40"/>
    <s v="Twitter"/>
    <n v="9551"/>
    <n v="828"/>
    <n v="988501"/>
    <n v="1.525036393488727"/>
    <n v="38047"/>
    <n v="1507500.0000000002"/>
    <n v="3.9835619306878862"/>
    <n v="39.622046416274614"/>
    <n v="8723"/>
  </r>
  <r>
    <s v="Mar"/>
    <x v="40"/>
    <s v="Instagram"/>
    <n v="3376"/>
    <n v="382"/>
    <n v="991495"/>
    <n v="3.8694093263203548"/>
    <n v="44782"/>
    <n v="3836500"/>
    <n v="13.264810426540285"/>
    <n v="85.670581930239834"/>
    <n v="2994"/>
  </r>
  <r>
    <s v="Mar"/>
    <x v="40"/>
    <s v="YouTube"/>
    <n v="4009"/>
    <n v="454"/>
    <n v="995050"/>
    <n v="2.1106477061454201"/>
    <n v="19833"/>
    <n v="2100200.0000000005"/>
    <n v="4.9471189822898483"/>
    <n v="105.89421670952456"/>
    <n v="3555"/>
  </r>
  <r>
    <s v="Mar"/>
    <x v="40"/>
    <s v="LinkedIn"/>
    <n v="2827"/>
    <n v="292"/>
    <n v="997585"/>
    <n v="2.4004972007397871"/>
    <n v="17896"/>
    <n v="2394700.0000000005"/>
    <n v="6.3303855677396532"/>
    <n v="133.81202503352708"/>
    <n v="2535"/>
  </r>
  <r>
    <s v="Mar"/>
    <x v="41"/>
    <s v="LinkedIn"/>
    <n v="7979"/>
    <n v="470"/>
    <n v="1005094"/>
    <n v="10.43086517280971"/>
    <n v="42972"/>
    <n v="10484000.000000004"/>
    <n v="5.3856372979070057"/>
    <n v="243.97281951037894"/>
    <n v="7509"/>
  </r>
  <r>
    <s v="Mar"/>
    <x v="41"/>
    <s v="Instagram"/>
    <n v="9569"/>
    <n v="1277"/>
    <n v="1013386"/>
    <n v="12.45517502708741"/>
    <n v="59733"/>
    <n v="12621900.000000002"/>
    <n v="6.2423450726303686"/>
    <n v="211.30530862337403"/>
    <n v="8292"/>
  </r>
  <r>
    <s v="Mar"/>
    <x v="41"/>
    <s v="LinkedIn"/>
    <n v="5285"/>
    <n v="433"/>
    <n v="1018238"/>
    <n v="8.7022876773406619"/>
    <n v="51800"/>
    <n v="8861000"/>
    <n v="9.8013245033112586"/>
    <n v="171.06177606177607"/>
    <n v="4852"/>
  </r>
  <r>
    <s v="Mar"/>
    <x v="41"/>
    <s v="LinkedIn"/>
    <n v="7910"/>
    <n v="543"/>
    <n v="1025605"/>
    <n v="6.0590578244060822"/>
    <n v="40508"/>
    <n v="6214200"/>
    <n v="5.121112515802781"/>
    <n v="153.40673447220303"/>
    <n v="7367"/>
  </r>
  <r>
    <s v="Mar"/>
    <x v="42"/>
    <s v="LinkedIn"/>
    <n v="9561"/>
    <n v="517"/>
    <n v="1034649"/>
    <n v="6.4086467971263694"/>
    <n v="15347"/>
    <n v="6630700.0000000009"/>
    <n v="1.6051668235540215"/>
    <n v="432.05186681436118"/>
    <n v="9044"/>
  </r>
  <r>
    <s v="Mar"/>
    <x v="42"/>
    <s v="LinkedIn"/>
    <n v="3196"/>
    <n v="348"/>
    <n v="1037497"/>
    <n v="14.03040201562029"/>
    <n v="40314"/>
    <n v="14556500.000000004"/>
    <n v="12.61389236545682"/>
    <n v="361.07803740636018"/>
    <n v="2848"/>
  </r>
  <r>
    <s v="Mar"/>
    <x v="42"/>
    <s v="YouTube"/>
    <n v="4747"/>
    <n v="558"/>
    <n v="1041686"/>
    <n v="5.7680529449373434"/>
    <n v="12643"/>
    <n v="6008500.0000000019"/>
    <n v="2.6633663366336635"/>
    <n v="475.24321759076184"/>
    <n v="4189"/>
  </r>
  <r>
    <s v="Mar"/>
    <x v="42"/>
    <s v="LinkedIn"/>
    <n v="9843"/>
    <n v="508"/>
    <n v="1051021"/>
    <n v="4.2080986012648651"/>
    <n v="50785"/>
    <n v="4422800"/>
    <n v="5.1595042161942501"/>
    <n v="87.088707295461262"/>
    <n v="9335"/>
  </r>
  <r>
    <s v="Mar"/>
    <x v="43"/>
    <s v="Twitter"/>
    <n v="6978"/>
    <n v="706"/>
    <n v="1057293"/>
    <n v="5.057443868445171"/>
    <n v="28681"/>
    <n v="5347200"/>
    <n v="4.1102034967039263"/>
    <n v="186.43701405111398"/>
    <n v="6272"/>
  </r>
  <r>
    <s v="Mar"/>
    <x v="43"/>
    <s v="Instagram"/>
    <n v="6607"/>
    <n v="479"/>
    <n v="1063421"/>
    <n v="5.5892257158735816"/>
    <n v="48328"/>
    <n v="5943700"/>
    <n v="7.3146662630543364"/>
    <n v="122.986674391657"/>
    <n v="6128"/>
  </r>
  <r>
    <s v="Mar"/>
    <x v="43"/>
    <s v="YouTube"/>
    <n v="1769"/>
    <n v="202"/>
    <n v="1064988"/>
    <n v="6.5457075572682513"/>
    <n v="25892"/>
    <n v="6971100"/>
    <n v="14.636517806670435"/>
    <n v="269.23760234821566"/>
    <n v="1567"/>
  </r>
  <r>
    <s v="Mar"/>
    <x v="43"/>
    <s v="LinkedIn"/>
    <n v="1780"/>
    <n v="120"/>
    <n v="1066648"/>
    <n v="13.86474263299608"/>
    <n v="57299"/>
    <n v="14788800.000000004"/>
    <n v="32.190449438202251"/>
    <n v="258.09874517879899"/>
    <n v="1660"/>
  </r>
  <r>
    <s v="Apr"/>
    <x v="44"/>
    <s v="YouTube"/>
    <n v="7303"/>
    <n v="869"/>
    <n v="1073082"/>
    <n v="8.1237966902808925"/>
    <n v="27073"/>
    <n v="8717500"/>
    <n v="3.7071066684924006"/>
    <n v="321.99977837698077"/>
    <n v="6434"/>
  </r>
  <r>
    <s v="Apr"/>
    <x v="44"/>
    <s v="LinkedIn"/>
    <n v="4983"/>
    <n v="441"/>
    <n v="1077624"/>
    <n v="6.8954477628560609"/>
    <n v="46768"/>
    <n v="7430700"/>
    <n v="9.3855107365041146"/>
    <n v="158.88427984946972"/>
    <n v="4542"/>
  </r>
  <r>
    <s v="Apr"/>
    <x v="44"/>
    <s v="Twitter"/>
    <n v="9714"/>
    <n v="1395"/>
    <n v="1085943"/>
    <n v="5.2243073531483697"/>
    <n v="40682"/>
    <n v="5673300"/>
    <n v="4.1879761169446157"/>
    <n v="139.45479573275651"/>
    <n v="8319"/>
  </r>
  <r>
    <s v="Apr"/>
    <x v="44"/>
    <s v="Instagram"/>
    <n v="1521"/>
    <n v="96"/>
    <n v="1087368"/>
    <n v="12.709772588488899"/>
    <n v="42262"/>
    <n v="13820199.999999998"/>
    <n v="27.785667324128863"/>
    <n v="327.01244616913533"/>
    <n v="1425"/>
  </r>
  <r>
    <s v="Apr"/>
    <x v="45"/>
    <s v="LinkedIn"/>
    <n v="8569"/>
    <n v="720"/>
    <n v="1095217"/>
    <n v="9.589697749395782"/>
    <n v="41358"/>
    <n v="10502800"/>
    <n v="4.8264674991247523"/>
    <n v="253.94845011847769"/>
    <n v="7849"/>
  </r>
  <r>
    <s v="Apr"/>
    <x v="45"/>
    <s v="LinkedIn"/>
    <n v="6784"/>
    <n v="416"/>
    <n v="1101585"/>
    <n v="9.3041390360253633"/>
    <n v="24289"/>
    <n v="10249300"/>
    <n v="3.5803360849056602"/>
    <n v="421.9729095475318"/>
    <n v="6368"/>
  </r>
  <r>
    <s v="Apr"/>
    <x v="45"/>
    <s v="LinkedIn"/>
    <n v="5583"/>
    <n v="795"/>
    <n v="1106373"/>
    <n v="12.21550055903389"/>
    <n v="59823"/>
    <n v="13514900.000000002"/>
    <n v="10.715206878022569"/>
    <n v="225.91478194005654"/>
    <n v="4788"/>
  </r>
  <r>
    <s v="Apr"/>
    <x v="45"/>
    <s v="LinkedIn"/>
    <n v="6946"/>
    <n v="956"/>
    <n v="1112363"/>
    <n v="1.64146056637986"/>
    <n v="17927"/>
    <n v="1825900.0000000002"/>
    <n v="2.580909876187734"/>
    <n v="101.85195515144756"/>
    <n v="5990"/>
  </r>
  <r>
    <s v="Apr"/>
    <x v="46"/>
    <s v="Instagram"/>
    <n v="5941"/>
    <n v="450"/>
    <n v="1117854"/>
    <n v="12.414411899944"/>
    <n v="58330"/>
    <n v="13877500"/>
    <n v="9.8182124221511522"/>
    <n v="237.91359506257501"/>
    <n v="5491"/>
  </r>
  <r>
    <s v="Apr"/>
    <x v="46"/>
    <s v="Instagram"/>
    <n v="7267"/>
    <n v="842"/>
    <n v="1124279"/>
    <n v="2.2102165031989389"/>
    <n v="11171"/>
    <n v="2484900"/>
    <n v="1.5372230631622403"/>
    <n v="222.44203741831529"/>
    <n v="6425"/>
  </r>
  <r>
    <s v="Apr"/>
    <x v="46"/>
    <s v="Twitter"/>
    <n v="8128"/>
    <n v="1070"/>
    <n v="1131337"/>
    <n v="8.1114645768679008"/>
    <n v="21918"/>
    <n v="9176800"/>
    <n v="2.6966043307086616"/>
    <n v="418.68783648143079"/>
    <n v="7058"/>
  </r>
  <r>
    <s v="Apr"/>
    <x v="46"/>
    <s v="Instagram"/>
    <n v="3461"/>
    <n v="365"/>
    <n v="1134433"/>
    <n v="10.23489267325616"/>
    <n v="51903"/>
    <n v="11610800.000000006"/>
    <n v="14.996532793990177"/>
    <n v="223.70190547752549"/>
    <n v="3096"/>
  </r>
  <r>
    <s v="Apr"/>
    <x v="47"/>
    <s v="LinkedIn"/>
    <n v="1685"/>
    <n v="173"/>
    <n v="1135945"/>
    <n v="8.7776256772995165"/>
    <n v="49110"/>
    <n v="9970900"/>
    <n v="29.145400593471809"/>
    <n v="203.0319690490735"/>
    <n v="1512"/>
  </r>
  <r>
    <s v="Apr"/>
    <x v="47"/>
    <s v="Twitter"/>
    <n v="3160"/>
    <n v="234"/>
    <n v="1138871"/>
    <n v="5.6959041015180816"/>
    <n v="21929"/>
    <n v="6486899.9999999991"/>
    <n v="6.9395569620253168"/>
    <n v="295.81376259747361"/>
    <n v="2926"/>
  </r>
  <r>
    <s v="Apr"/>
    <x v="47"/>
    <s v="Twitter"/>
    <n v="8031"/>
    <n v="476"/>
    <n v="1146426"/>
    <n v="11.940413075069831"/>
    <n v="12539"/>
    <n v="13688800.000000006"/>
    <n v="1.5613248661436931"/>
    <n v="1091.697902544063"/>
    <n v="7555"/>
  </r>
  <r>
    <s v="Apr"/>
    <x v="47"/>
    <s v="Twitter"/>
    <n v="6341"/>
    <n v="885"/>
    <n v="1151882"/>
    <n v="6.3457020771224837"/>
    <n v="46727"/>
    <n v="7309500.0000000009"/>
    <n v="7.3690269673553068"/>
    <n v="156.42990134183665"/>
    <n v="5456"/>
  </r>
  <r>
    <s v="May"/>
    <x v="48"/>
    <s v="LinkedIn"/>
    <n v="1038"/>
    <n v="145"/>
    <n v="1152775"/>
    <n v="11.093752033137431"/>
    <n v="55951"/>
    <n v="12788600.000000002"/>
    <n v="53.902697495183041"/>
    <n v="228.56785401512042"/>
    <n v="893"/>
  </r>
  <r>
    <s v="May"/>
    <x v="48"/>
    <s v="YouTube"/>
    <n v="5875"/>
    <n v="665"/>
    <n v="1157985"/>
    <n v="6.9871371390821126"/>
    <n v="32669"/>
    <n v="8091000"/>
    <n v="5.5606808510638297"/>
    <n v="247.66598304202762"/>
    <n v="5210"/>
  </r>
  <r>
    <s v="May"/>
    <x v="48"/>
    <s v="LinkedIn"/>
    <n v="2256"/>
    <n v="189"/>
    <n v="1160052"/>
    <n v="2.8935771844710412"/>
    <n v="15432"/>
    <n v="3356700.0000000005"/>
    <n v="6.8404255319148932"/>
    <n v="217.51555209953347"/>
    <n v="2067"/>
  </r>
  <r>
    <s v="May"/>
    <x v="48"/>
    <s v="Instagram"/>
    <n v="8697"/>
    <n v="738"/>
    <n v="1168011"/>
    <n v="3.8777032065622672"/>
    <n v="30644"/>
    <n v="4529200"/>
    <n v="3.5235138553524203"/>
    <n v="147.80054823130141"/>
    <n v="7959"/>
  </r>
  <r>
    <s v="May"/>
    <x v="49"/>
    <s v="Instagram"/>
    <n v="3196"/>
    <n v="391"/>
    <n v="1170816"/>
    <n v="7.2439221876024931"/>
    <n v="28745"/>
    <n v="8481300"/>
    <n v="8.9940550688360457"/>
    <n v="295.05305270481824"/>
    <n v="2805"/>
  </r>
  <r>
    <s v="May"/>
    <x v="49"/>
    <s v="LinkedIn"/>
    <n v="8165"/>
    <n v="1140"/>
    <n v="1177841"/>
    <n v="9.095964565675672"/>
    <n v="38228"/>
    <n v="10713600"/>
    <n v="4.6819350887936313"/>
    <n v="280.25531024380035"/>
    <n v="7025"/>
  </r>
  <r>
    <s v="May"/>
    <x v="49"/>
    <s v="LinkedIn"/>
    <n v="1301"/>
    <n v="180"/>
    <n v="1178962"/>
    <n v="5.2275645864752214"/>
    <n v="44521"/>
    <n v="6163100"/>
    <n v="34.220599538816295"/>
    <n v="138.43130208216348"/>
    <n v="1121"/>
  </r>
  <r>
    <s v="May"/>
    <x v="49"/>
    <s v="Twitter"/>
    <n v="8527"/>
    <n v="1091"/>
    <n v="1186398"/>
    <n v="1.676081719625286"/>
    <n v="41703"/>
    <n v="1988500"/>
    <n v="4.8907001290019938"/>
    <n v="47.682420928949952"/>
    <n v="74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5EA3F-EAFC-48FF-AB8D-1ABDD4765A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15">
    <pivotField axis="axisRow" showAll="0" measureFilter="1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</pivotFields>
  <rowFields count="1">
    <field x="0"/>
  </rowFields>
  <rowItems count="11">
    <i>
      <x/>
    </i>
    <i>
      <x v="6"/>
    </i>
    <i>
      <x v="11"/>
    </i>
    <i>
      <x v="31"/>
    </i>
    <i>
      <x v="44"/>
    </i>
    <i>
      <x v="60"/>
    </i>
    <i>
      <x v="64"/>
    </i>
    <i>
      <x v="187"/>
    </i>
    <i>
      <x v="242"/>
    </i>
    <i>
      <x v="270"/>
    </i>
    <i t="grand">
      <x/>
    </i>
  </rowItems>
  <colItems count="1">
    <i/>
  </colItems>
  <dataFields count="1">
    <dataField name="Sum of Engagement" fld="13" baseField="0" baseItem="0" numFmtId="1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BA56A-1085-4DD8-8679-85CDF6CBE8D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P8" firstHeaderRow="1" firstDataRow="3" firstDataCol="1"/>
  <pivotFields count="15"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6" baseField="0" baseItem="0" numFmtId="1"/>
    <dataField name="Sum of Comments" fld="8" baseField="0" baseItem="0" numFmtId="1"/>
    <dataField name="Sum of Shares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E8A92-9AEE-4B40-9B4D-03ACA19B75B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15">
    <pivotField showAll="0"/>
    <pivotField showAll="0"/>
    <pivotField showAll="0"/>
    <pivotField showAll="0"/>
    <pivotField axis="axisRow" showAll="0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</pivotField>
    <pivotField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Clicks" fld="9" subtotal="average" baseField="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F0935-04FA-436C-AF22-25395D1F932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7" firstHeaderRow="1" firstDataRow="2" firstDataCol="1"/>
  <pivotFields count="15">
    <pivotField showAll="0"/>
    <pivotField axis="axisRow" showAll="0" measureFilter="1">
      <items count="5">
        <item x="2"/>
        <item x="1"/>
        <item x="3"/>
        <item x="0"/>
        <item t="default"/>
      </items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Engagement" fld="13" baseField="0" baseItem="0" numFmtId="1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89F29-E51A-46BE-B376-566802136101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F15" firstHeaderRow="1" firstDataRow="2" firstDataCol="1"/>
  <pivotFields count="8"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Followers" fld="5" baseField="0" baseItem="0"/>
  </dataFields>
  <chartFormats count="8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1FF85-6FAB-4BFE-BACD-A27D700C123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7" firstHeaderRow="1" firstDataRow="2" firstDataCol="1"/>
  <pivotFields count="15"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Engagement Rate" fld="12" baseField="0" baseItem="0" numFmtId="1"/>
  </dataFields>
  <chartFormats count="4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C8975-FE85-4BC0-8981-0C59C12509A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24" firstHeaderRow="0" firstDataRow="1" firstDataCol="1"/>
  <pivotFields count="16"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2">
    <field x="1"/>
    <field x="3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ost Interaction Rate" fld="14" subtotal="average" baseField="1" baseItem="0"/>
    <dataField name="Sum of Total Engagement" fld="13" baseField="0" baseItem="0"/>
  </dataFields>
  <formats count="8">
    <format dxfId="26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4">
            <x v="0"/>
            <x v="1"/>
            <x v="2"/>
            <x v="3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4">
            <x v="0"/>
            <x v="1"/>
            <x v="2"/>
            <x v="3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4">
            <x v="0"/>
            <x v="1"/>
            <x v="2"/>
            <x v="3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4">
            <x v="0"/>
            <x v="1"/>
            <x v="2"/>
            <x v="3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A6985-6E80-4CEB-9398-3C76B1C861F3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F201" firstHeaderRow="1" firstDataRow="2" firstDataCol="1"/>
  <pivotFields count="9"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  <pivotField dataField="1" showAll="0">
      <items count="201">
        <item x="117"/>
        <item x="96"/>
        <item x="14"/>
        <item x="76"/>
        <item x="146"/>
        <item x="50"/>
        <item x="160"/>
        <item x="10"/>
        <item x="63"/>
        <item x="45"/>
        <item x="39"/>
        <item x="17"/>
        <item x="183"/>
        <item x="80"/>
        <item x="153"/>
        <item x="8"/>
        <item x="95"/>
        <item x="83"/>
        <item x="199"/>
        <item x="3"/>
        <item x="162"/>
        <item x="46"/>
        <item x="61"/>
        <item x="151"/>
        <item x="97"/>
        <item x="22"/>
        <item x="163"/>
        <item x="185"/>
        <item x="149"/>
        <item x="159"/>
        <item x="57"/>
        <item x="104"/>
        <item x="13"/>
        <item x="158"/>
        <item x="18"/>
        <item x="26"/>
        <item x="6"/>
        <item x="58"/>
        <item x="81"/>
        <item x="27"/>
        <item x="124"/>
        <item x="152"/>
        <item x="141"/>
        <item x="194"/>
        <item x="24"/>
        <item x="102"/>
        <item x="79"/>
        <item x="85"/>
        <item x="16"/>
        <item x="161"/>
        <item x="123"/>
        <item x="19"/>
        <item x="136"/>
        <item x="71"/>
        <item x="113"/>
        <item x="87"/>
        <item x="35"/>
        <item x="55"/>
        <item x="77"/>
        <item x="106"/>
        <item x="171"/>
        <item x="156"/>
        <item x="195"/>
        <item x="44"/>
        <item x="4"/>
        <item x="40"/>
        <item x="122"/>
        <item x="60"/>
        <item x="25"/>
        <item x="172"/>
        <item x="93"/>
        <item x="94"/>
        <item x="178"/>
        <item x="0"/>
        <item x="132"/>
        <item x="173"/>
        <item x="170"/>
        <item x="137"/>
        <item x="135"/>
        <item x="198"/>
        <item x="167"/>
        <item x="72"/>
        <item x="133"/>
        <item x="157"/>
        <item x="70"/>
        <item x="189"/>
        <item x="127"/>
        <item x="84"/>
        <item x="168"/>
        <item x="75"/>
        <item x="37"/>
        <item x="143"/>
        <item x="103"/>
        <item x="174"/>
        <item x="33"/>
        <item x="155"/>
        <item x="66"/>
        <item x="191"/>
        <item x="126"/>
        <item x="7"/>
        <item x="5"/>
        <item x="177"/>
        <item x="47"/>
        <item x="1"/>
        <item x="119"/>
        <item x="59"/>
        <item x="142"/>
        <item x="98"/>
        <item x="193"/>
        <item x="32"/>
        <item x="112"/>
        <item x="140"/>
        <item x="148"/>
        <item x="196"/>
        <item x="36"/>
        <item x="120"/>
        <item x="109"/>
        <item x="176"/>
        <item x="166"/>
        <item x="9"/>
        <item x="43"/>
        <item x="67"/>
        <item x="110"/>
        <item x="186"/>
        <item x="21"/>
        <item x="91"/>
        <item x="108"/>
        <item x="42"/>
        <item x="147"/>
        <item x="139"/>
        <item x="125"/>
        <item x="115"/>
        <item x="28"/>
        <item x="54"/>
        <item x="188"/>
        <item x="23"/>
        <item x="100"/>
        <item x="86"/>
        <item x="181"/>
        <item x="164"/>
        <item x="180"/>
        <item x="101"/>
        <item x="89"/>
        <item x="12"/>
        <item x="11"/>
        <item x="197"/>
        <item x="88"/>
        <item x="134"/>
        <item x="2"/>
        <item x="20"/>
        <item x="129"/>
        <item x="29"/>
        <item x="121"/>
        <item x="107"/>
        <item x="69"/>
        <item x="187"/>
        <item x="105"/>
        <item x="52"/>
        <item x="130"/>
        <item x="68"/>
        <item x="128"/>
        <item x="15"/>
        <item x="73"/>
        <item x="165"/>
        <item x="192"/>
        <item x="144"/>
        <item x="74"/>
        <item x="99"/>
        <item x="92"/>
        <item x="34"/>
        <item x="118"/>
        <item x="62"/>
        <item x="53"/>
        <item x="182"/>
        <item x="65"/>
        <item x="150"/>
        <item x="138"/>
        <item x="190"/>
        <item x="179"/>
        <item x="184"/>
        <item x="114"/>
        <item x="56"/>
        <item x="48"/>
        <item x="90"/>
        <item x="116"/>
        <item x="78"/>
        <item x="49"/>
        <item x="31"/>
        <item x="64"/>
        <item x="145"/>
        <item x="169"/>
        <item x="111"/>
        <item x="51"/>
        <item x="175"/>
        <item x="30"/>
        <item x="41"/>
        <item x="38"/>
        <item x="82"/>
        <item x="131"/>
        <item x="154"/>
        <item t="default"/>
      </items>
    </pivotField>
  </pivotFields>
  <rowFields count="1">
    <field x="7"/>
  </rowFields>
  <rowItems count="1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Engagement" fld="8" baseField="0" baseItem="0"/>
  </dataFields>
  <chartFormats count="5">
    <chartFormat chart="0" format="2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0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85C61-91F3-47E4-B1A8-15415A328D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15">
    <pivotField showAll="0"/>
    <pivotField showAll="0"/>
    <pivotField showAll="0"/>
    <pivotField showAll="0"/>
    <pivotField axis="axisRow" dataField="1" showAll="0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Hashtag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2C39F-53D3-46BE-9675-F04F512943A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14" firstHeaderRow="0" firstDataRow="1" firstDataCol="1"/>
  <pivotFields count="15">
    <pivotField showAll="0"/>
    <pivotField showAll="0"/>
    <pivotField showAll="0"/>
    <pivotField showAll="0"/>
    <pivotField axis="axisRow" showAll="0" sortType="a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mments" fld="8" subtotal="average" baseField="4" baseItem="0" numFmtId="1"/>
    <dataField name="Average of Likes" fld="6" subtotal="average" baseField="4" baseItem="0" numFmtId="1"/>
    <dataField name="Average of Shares" fld="7" subtotal="average" baseField="4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A7410-E146-48BD-8E9A-200D7AAE783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6" firstHeaderRow="0" firstDataRow="1" firstDataCol="1"/>
  <pivotFields count="15">
    <pivotField showAll="0"/>
    <pivotField showAll="0"/>
    <pivotField showAll="0"/>
    <pivotField axis="axisRow" showAll="0" sortType="ascending">
      <items count="5">
        <item x="3"/>
        <item x="0"/>
        <item x="1"/>
        <item x="2"/>
        <item t="default"/>
      </items>
    </pivotField>
    <pivotField showAll="0"/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6" subtotal="average" baseField="3" baseItem="0" numFmtId="1"/>
    <dataField name="Average of Shares" fld="7" subtotal="average" baseField="3" baseItem="0" numFmtId="1"/>
    <dataField name="Average of Comments" fld="8" subtotal="average" baseField="3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E0EF2-6EC6-4764-B3A1-0D5B56CDF460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7" firstHeaderRow="1" firstDataRow="2" firstDataCol="1"/>
  <pivotFields count="3">
    <pivotField axis="axisRow" showAll="0" sortType="ascending">
      <items count="5">
        <item x="2"/>
        <item x="1"/>
        <item x="3"/>
        <item x="0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dataField="1" numFmtI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 Engagement" fld="2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99580-06B3-43D5-8823-DED2015CF74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G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numFmtId="1" showAll="0"/>
    <pivotField numFmtId="1" showAll="0"/>
    <pivotField axis="axisRow" showAll="0">
      <items count="6">
        <item x="1"/>
        <item x="0"/>
        <item x="3"/>
        <item x="4"/>
        <item x="2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1" baseField="0" baseItem="0" numFmtId="1"/>
    <dataField name="Average of Clicks" fld="9" subtotal="average" baseField="14" baseItem="0" numFmtId="1"/>
    <dataField name="Sum of Clicks" fld="9" baseField="0" baseItem="0" numFmtId="1"/>
    <dataField name="Average of Likes" fld="6" subtotal="average" baseField="14" baseItem="0" numFmtId="1"/>
    <dataField name="Sum of Likes" fld="6" baseField="0" baseItem="0" numFmtId="1"/>
    <dataField name="Average of Impressions" fld="11" subtotal="average" baseField="14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21653-F65C-4310-BD56-55E8940277C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6" firstHeaderRow="0" firstDataRow="1" firstDataCol="1"/>
  <pivotFields count="10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6" subtotal="average" baseField="2" baseItem="0"/>
    <dataField name="Average of Cost per new follower" fld="9" subtotal="average" baseField="2" baseItem="0" numFmtId="1"/>
  </dataFields>
  <formats count="1">
    <format dxfId="18">
      <pivotArea collapsedLevelsAreSubtotals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6980F-9AB0-48D6-B6FF-544003D1F83D}" name="PivotTable1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G54" firstHeaderRow="1" firstDataRow="2" firstDataCol="1"/>
  <pivotFields count="12">
    <pivotField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et followers" fld="11" baseField="0" baseItem="0"/>
  </dataFields>
  <chartFormats count="10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962FF-4B3C-420B-AE5A-22B8F519BDDF}" name="PivotTable1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2" firstHeaderRow="1" firstDataRow="1" firstDataCol="1"/>
  <pivotFields count="12">
    <pivotField showAll="0"/>
    <pivotField axis="axisRow" showAll="0" sortType="a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New_Follower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3B5C7-CC16-4E87-8280-A9E19C6CBFED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11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OI" fld="1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14CB7-8916-4DE3-8B91-DC16CE5EEDD0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2" firstHeaderRow="0" firstDataRow="1" firstDataCol="1"/>
  <pivotFields count="11">
    <pivotField showAll="0"/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numFmtId="1" showAll="0"/>
    <pivotField numFmtId="1"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Followers" fld="5" baseField="0" baseItem="0"/>
    <dataField name="Sum of Unfollow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4F310-8BA0-445B-9883-073949D7686A}" name="PivotTable2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53" firstHeaderRow="0" firstDataRow="1" firstDataCol="1"/>
  <pivotFields count="12">
    <pivotField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followers" fld="11" baseField="0" baseItem="0"/>
    <dataField name="Sum of Ad_Spend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97B826-B994-4945-B8CD-2378432AA2C3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1000"/>
  <sheetViews>
    <sheetView workbookViewId="0">
      <selection activeCell="B2" sqref="B2"/>
    </sheetView>
  </sheetViews>
  <sheetFormatPr defaultColWidth="14.453125" defaultRowHeight="15" customHeight="1" x14ac:dyDescent="0.35"/>
  <cols>
    <col min="1" max="1" width="8.7265625" customWidth="1"/>
    <col min="2" max="2" width="10.81640625" customWidth="1"/>
    <col min="3" max="3" width="29.54296875" customWidth="1"/>
    <col min="4" max="4" width="25.08984375" customWidth="1"/>
    <col min="5" max="5" width="8.7265625" customWidth="1"/>
    <col min="7" max="15" width="8.7265625" customWidth="1"/>
    <col min="16" max="16" width="33.453125" customWidth="1"/>
    <col min="17" max="30" width="8.7265625" customWidth="1"/>
  </cols>
  <sheetData>
    <row r="1" spans="1:165" ht="14.2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557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1" t="s">
        <v>558</v>
      </c>
      <c r="N1" s="11" t="s">
        <v>588</v>
      </c>
      <c r="O1" s="11" t="s">
        <v>587</v>
      </c>
      <c r="P1" s="1" t="s">
        <v>11</v>
      </c>
    </row>
    <row r="2" spans="1:165" ht="14.25" customHeight="1" thickBot="1" x14ac:dyDescent="0.4">
      <c r="A2" s="3" t="s">
        <v>12</v>
      </c>
      <c r="B2" s="3" t="s">
        <v>13</v>
      </c>
      <c r="C2" s="10" t="s">
        <v>14</v>
      </c>
      <c r="D2" s="3" t="s">
        <v>15</v>
      </c>
      <c r="E2" s="3" t="s">
        <v>16</v>
      </c>
      <c r="F2" t="s">
        <v>547</v>
      </c>
      <c r="G2" s="7">
        <v>24516</v>
      </c>
      <c r="H2" s="7">
        <v>976</v>
      </c>
      <c r="I2" s="7">
        <v>974</v>
      </c>
      <c r="J2" s="7">
        <v>2675</v>
      </c>
      <c r="K2" s="8">
        <v>23275</v>
      </c>
      <c r="L2" s="7">
        <v>202932</v>
      </c>
      <c r="M2" s="7">
        <v>25492.004799637318</v>
      </c>
      <c r="N2" s="7">
        <v>29141</v>
      </c>
      <c r="O2" s="7">
        <v>14.359982654288137</v>
      </c>
      <c r="P2" s="3" t="s">
        <v>17</v>
      </c>
      <c r="FH2" t="s">
        <v>543</v>
      </c>
      <c r="FI2" t="s">
        <v>544</v>
      </c>
    </row>
    <row r="3" spans="1:165" ht="14.25" customHeight="1" thickBot="1" x14ac:dyDescent="0.4">
      <c r="A3" s="3" t="s">
        <v>18</v>
      </c>
      <c r="B3" s="3" t="s">
        <v>19</v>
      </c>
      <c r="C3" s="10">
        <v>45903</v>
      </c>
      <c r="D3" s="3" t="s">
        <v>15</v>
      </c>
      <c r="E3" s="3" t="s">
        <v>20</v>
      </c>
      <c r="F3" t="s">
        <v>548</v>
      </c>
      <c r="G3" s="7">
        <v>4779</v>
      </c>
      <c r="H3" s="7">
        <v>1110</v>
      </c>
      <c r="I3" s="7">
        <v>436</v>
      </c>
      <c r="J3" s="7">
        <v>1574</v>
      </c>
      <c r="K3" s="8">
        <v>77167</v>
      </c>
      <c r="L3" s="7">
        <v>71585</v>
      </c>
      <c r="M3" s="7">
        <v>5889.0060906614517</v>
      </c>
      <c r="N3" s="7">
        <v>7899</v>
      </c>
      <c r="O3" s="7">
        <v>11.034434588251729</v>
      </c>
      <c r="P3" s="3" t="s">
        <v>21</v>
      </c>
    </row>
    <row r="4" spans="1:165" ht="14.25" customHeight="1" thickBot="1" x14ac:dyDescent="0.4">
      <c r="A4" s="3" t="s">
        <v>22</v>
      </c>
      <c r="B4" s="3" t="s">
        <v>23</v>
      </c>
      <c r="C4" s="10" t="s">
        <v>24</v>
      </c>
      <c r="D4" s="3" t="s">
        <v>25</v>
      </c>
      <c r="E4" s="3" t="s">
        <v>26</v>
      </c>
      <c r="F4" t="s">
        <v>549</v>
      </c>
      <c r="G4" s="7">
        <v>19308</v>
      </c>
      <c r="H4" s="7">
        <v>1318</v>
      </c>
      <c r="I4" s="7">
        <v>795</v>
      </c>
      <c r="J4" s="7">
        <v>1499</v>
      </c>
      <c r="K4" s="8">
        <v>52307</v>
      </c>
      <c r="L4" s="7">
        <v>193087</v>
      </c>
      <c r="M4" s="12">
        <v>20626.004117314991</v>
      </c>
      <c r="N4" s="7">
        <v>22920</v>
      </c>
      <c r="O4" s="7">
        <v>11.870296809210355</v>
      </c>
      <c r="P4" s="3" t="s">
        <v>27</v>
      </c>
    </row>
    <row r="5" spans="1:165" ht="14.25" customHeight="1" thickBot="1" x14ac:dyDescent="0.4">
      <c r="A5" s="3" t="s">
        <v>28</v>
      </c>
      <c r="B5" s="3" t="s">
        <v>13</v>
      </c>
      <c r="C5" s="10" t="s">
        <v>29</v>
      </c>
      <c r="D5" s="3" t="s">
        <v>30</v>
      </c>
      <c r="E5" s="3" t="s">
        <v>31</v>
      </c>
      <c r="F5" t="s">
        <v>550</v>
      </c>
      <c r="G5" s="7">
        <v>3581</v>
      </c>
      <c r="H5" s="7">
        <v>517</v>
      </c>
      <c r="I5" s="7">
        <v>880</v>
      </c>
      <c r="J5" s="7">
        <v>1925</v>
      </c>
      <c r="K5" s="8">
        <v>18636</v>
      </c>
      <c r="L5" s="7">
        <v>248611</v>
      </c>
      <c r="M5" s="7">
        <v>4098.0035396663861</v>
      </c>
      <c r="N5" s="7">
        <v>6903</v>
      </c>
      <c r="O5" s="7">
        <v>2.7766269392746095</v>
      </c>
      <c r="P5" s="3" t="s">
        <v>32</v>
      </c>
    </row>
    <row r="6" spans="1:165" ht="14.25" customHeight="1" thickBot="1" x14ac:dyDescent="0.4">
      <c r="A6" s="3" t="s">
        <v>33</v>
      </c>
      <c r="B6" s="3" t="s">
        <v>13</v>
      </c>
      <c r="C6" s="10">
        <v>45904</v>
      </c>
      <c r="D6" s="3" t="s">
        <v>30</v>
      </c>
      <c r="E6" s="3" t="s">
        <v>16</v>
      </c>
      <c r="F6" t="s">
        <v>547</v>
      </c>
      <c r="G6" s="7">
        <v>21708</v>
      </c>
      <c r="H6" s="7">
        <v>435</v>
      </c>
      <c r="I6" s="7">
        <v>317</v>
      </c>
      <c r="J6" s="7">
        <v>1213</v>
      </c>
      <c r="K6" s="8">
        <v>70701</v>
      </c>
      <c r="L6" s="7">
        <v>83585</v>
      </c>
      <c r="M6" s="7">
        <v>22143.003792546511</v>
      </c>
      <c r="N6" s="7">
        <v>23673</v>
      </c>
      <c r="O6" s="7">
        <v>28.322067356583119</v>
      </c>
      <c r="P6" s="3" t="s">
        <v>21</v>
      </c>
    </row>
    <row r="7" spans="1:165" ht="14.25" customHeight="1" thickBot="1" x14ac:dyDescent="0.4">
      <c r="A7" s="3" t="s">
        <v>34</v>
      </c>
      <c r="B7" s="3" t="s">
        <v>19</v>
      </c>
      <c r="C7" s="10">
        <v>45905</v>
      </c>
      <c r="D7" s="3" t="s">
        <v>15</v>
      </c>
      <c r="E7" s="3" t="s">
        <v>35</v>
      </c>
      <c r="F7" t="s">
        <v>545</v>
      </c>
      <c r="G7" s="7">
        <v>14677</v>
      </c>
      <c r="H7" s="7">
        <v>533</v>
      </c>
      <c r="I7" s="7">
        <v>759</v>
      </c>
      <c r="J7" s="7">
        <v>753</v>
      </c>
      <c r="K7" s="8">
        <v>23275</v>
      </c>
      <c r="L7" s="7">
        <v>66958</v>
      </c>
      <c r="M7" s="7">
        <v>15210.011335464022</v>
      </c>
      <c r="N7" s="7">
        <v>16722</v>
      </c>
      <c r="O7" s="7">
        <v>24.973864213387497</v>
      </c>
      <c r="P7" s="3" t="s">
        <v>21</v>
      </c>
    </row>
    <row r="8" spans="1:165" ht="14.25" customHeight="1" thickBot="1" x14ac:dyDescent="0.4">
      <c r="A8" s="3" t="s">
        <v>36</v>
      </c>
      <c r="B8" s="3" t="s">
        <v>23</v>
      </c>
      <c r="C8" s="10" t="s">
        <v>37</v>
      </c>
      <c r="D8" s="3" t="s">
        <v>38</v>
      </c>
      <c r="E8" s="3" t="s">
        <v>39</v>
      </c>
      <c r="F8" t="s">
        <v>551</v>
      </c>
      <c r="G8" s="7">
        <v>7713</v>
      </c>
      <c r="H8" s="7">
        <v>575</v>
      </c>
      <c r="I8" s="7">
        <v>417</v>
      </c>
      <c r="J8" s="7">
        <v>336</v>
      </c>
      <c r="K8" s="8">
        <v>61660</v>
      </c>
      <c r="L8" s="7">
        <v>66017</v>
      </c>
      <c r="M8" s="7">
        <v>8288.0063165548272</v>
      </c>
      <c r="N8" s="7">
        <v>9041</v>
      </c>
      <c r="O8" s="7">
        <v>13.694957359468015</v>
      </c>
      <c r="P8" s="3" t="s">
        <v>32</v>
      </c>
    </row>
    <row r="9" spans="1:165" ht="14.25" customHeight="1" thickBot="1" x14ac:dyDescent="0.4">
      <c r="A9" s="3" t="s">
        <v>40</v>
      </c>
      <c r="B9" s="3" t="s">
        <v>23</v>
      </c>
      <c r="C9" s="10" t="s">
        <v>41</v>
      </c>
      <c r="D9" s="3" t="s">
        <v>30</v>
      </c>
      <c r="E9" s="3" t="s">
        <v>42</v>
      </c>
      <c r="F9" t="s">
        <v>552</v>
      </c>
      <c r="G9" s="7">
        <v>18639</v>
      </c>
      <c r="H9" s="7">
        <v>1360</v>
      </c>
      <c r="I9" s="7">
        <v>898</v>
      </c>
      <c r="J9" s="7">
        <v>2011</v>
      </c>
      <c r="K9" s="8">
        <v>42841</v>
      </c>
      <c r="L9" s="7">
        <v>247779</v>
      </c>
      <c r="M9" s="7">
        <v>19999.003624197368</v>
      </c>
      <c r="N9" s="7">
        <v>22908</v>
      </c>
      <c r="O9" s="7">
        <v>9.2453355611250352</v>
      </c>
      <c r="P9" s="3" t="s">
        <v>32</v>
      </c>
    </row>
    <row r="10" spans="1:165" ht="14.25" customHeight="1" thickBot="1" x14ac:dyDescent="0.4">
      <c r="A10" s="3" t="s">
        <v>43</v>
      </c>
      <c r="B10" s="3" t="s">
        <v>13</v>
      </c>
      <c r="C10" s="10" t="s">
        <v>44</v>
      </c>
      <c r="D10" s="3" t="s">
        <v>38</v>
      </c>
      <c r="E10" s="3" t="s">
        <v>20</v>
      </c>
      <c r="F10" t="s">
        <v>548</v>
      </c>
      <c r="G10" s="7">
        <v>6804</v>
      </c>
      <c r="H10" s="7">
        <v>787</v>
      </c>
      <c r="I10" s="7">
        <v>970</v>
      </c>
      <c r="J10" s="7">
        <v>1095</v>
      </c>
      <c r="K10" s="8">
        <v>56343</v>
      </c>
      <c r="L10" s="7">
        <v>164677</v>
      </c>
      <c r="M10" s="7">
        <v>7591.0058903186236</v>
      </c>
      <c r="N10" s="7">
        <v>9656</v>
      </c>
      <c r="O10" s="7">
        <v>5.8635996526533756</v>
      </c>
      <c r="P10" s="3" t="s">
        <v>17</v>
      </c>
    </row>
    <row r="11" spans="1:165" ht="14.25" customHeight="1" thickBot="1" x14ac:dyDescent="0.4">
      <c r="A11" s="3" t="s">
        <v>45</v>
      </c>
      <c r="B11" s="3" t="s">
        <v>46</v>
      </c>
      <c r="C11" s="10" t="s">
        <v>47</v>
      </c>
      <c r="D11" s="3" t="s">
        <v>30</v>
      </c>
      <c r="E11" s="3" t="s">
        <v>48</v>
      </c>
      <c r="F11" t="s">
        <v>553</v>
      </c>
      <c r="G11" s="7">
        <v>20222</v>
      </c>
      <c r="H11" s="7">
        <v>712</v>
      </c>
      <c r="I11" s="7">
        <v>604</v>
      </c>
      <c r="J11" s="7">
        <v>1272</v>
      </c>
      <c r="K11" s="8">
        <v>71598</v>
      </c>
      <c r="L11" s="7">
        <v>216422</v>
      </c>
      <c r="M11" s="7">
        <v>20934.002790843813</v>
      </c>
      <c r="N11" s="7">
        <v>22810</v>
      </c>
      <c r="O11" s="7">
        <v>10.53959394146621</v>
      </c>
      <c r="P11" s="3" t="s">
        <v>27</v>
      </c>
    </row>
    <row r="12" spans="1:165" ht="14.25" customHeight="1" thickBot="1" x14ac:dyDescent="0.4">
      <c r="A12" s="3" t="s">
        <v>49</v>
      </c>
      <c r="B12" s="3" t="s">
        <v>13</v>
      </c>
      <c r="C12" s="10" t="s">
        <v>50</v>
      </c>
      <c r="D12" s="3" t="s">
        <v>38</v>
      </c>
      <c r="E12" s="3" t="s">
        <v>31</v>
      </c>
      <c r="F12" t="s">
        <v>550</v>
      </c>
      <c r="G12" s="7">
        <v>12136</v>
      </c>
      <c r="H12" s="7">
        <v>1117</v>
      </c>
      <c r="I12" s="7">
        <v>834</v>
      </c>
      <c r="J12" s="7">
        <v>892</v>
      </c>
      <c r="K12" s="8">
        <v>24675</v>
      </c>
      <c r="L12" s="7">
        <v>183273</v>
      </c>
      <c r="M12" s="7">
        <v>13253.004550588466</v>
      </c>
      <c r="N12" s="7">
        <v>14979</v>
      </c>
      <c r="O12" s="7">
        <v>8.1730533139087598</v>
      </c>
      <c r="P12" s="3" t="s">
        <v>27</v>
      </c>
    </row>
    <row r="13" spans="1:165" ht="14.25" customHeight="1" thickBot="1" x14ac:dyDescent="0.4">
      <c r="A13" s="3" t="s">
        <v>51</v>
      </c>
      <c r="B13" s="3" t="s">
        <v>13</v>
      </c>
      <c r="C13" s="10" t="s">
        <v>52</v>
      </c>
      <c r="D13" s="3" t="s">
        <v>25</v>
      </c>
      <c r="E13" s="3" t="s">
        <v>20</v>
      </c>
      <c r="F13" t="s">
        <v>548</v>
      </c>
      <c r="G13" s="7">
        <v>2009</v>
      </c>
      <c r="H13" s="7">
        <v>1072</v>
      </c>
      <c r="I13" s="7">
        <v>550</v>
      </c>
      <c r="J13" s="7">
        <v>1437</v>
      </c>
      <c r="K13" s="8">
        <v>22982</v>
      </c>
      <c r="L13" s="7">
        <v>69426</v>
      </c>
      <c r="M13" s="7">
        <v>3081.007922104111</v>
      </c>
      <c r="N13" s="7">
        <v>5068</v>
      </c>
      <c r="O13" s="7">
        <v>7.2998588425085709</v>
      </c>
      <c r="P13" s="3" t="s">
        <v>32</v>
      </c>
    </row>
    <row r="14" spans="1:165" ht="14.25" customHeight="1" thickBot="1" x14ac:dyDescent="0.4">
      <c r="A14" s="3" t="s">
        <v>53</v>
      </c>
      <c r="B14" s="3" t="s">
        <v>13</v>
      </c>
      <c r="C14" s="10" t="s">
        <v>54</v>
      </c>
      <c r="D14" s="3" t="s">
        <v>38</v>
      </c>
      <c r="E14" s="3" t="s">
        <v>39</v>
      </c>
      <c r="F14" t="s">
        <v>551</v>
      </c>
      <c r="G14" s="7">
        <v>21255</v>
      </c>
      <c r="H14" s="7">
        <v>1452</v>
      </c>
      <c r="I14" s="7">
        <v>625</v>
      </c>
      <c r="J14" s="7">
        <v>1624</v>
      </c>
      <c r="K14" s="8">
        <v>21282</v>
      </c>
      <c r="L14" s="7">
        <v>57778</v>
      </c>
      <c r="M14" s="7">
        <v>22707.010817266088</v>
      </c>
      <c r="N14" s="7">
        <v>24956</v>
      </c>
      <c r="O14" s="7">
        <v>43.192910796496939</v>
      </c>
      <c r="P14" s="3" t="s">
        <v>55</v>
      </c>
    </row>
    <row r="15" spans="1:165" ht="14.25" customHeight="1" thickBot="1" x14ac:dyDescent="0.4">
      <c r="A15" s="3" t="s">
        <v>56</v>
      </c>
      <c r="B15" s="3" t="s">
        <v>13</v>
      </c>
      <c r="C15" s="10">
        <v>45906</v>
      </c>
      <c r="D15" s="3" t="s">
        <v>25</v>
      </c>
      <c r="E15" s="3" t="s">
        <v>42</v>
      </c>
      <c r="F15" t="s">
        <v>552</v>
      </c>
      <c r="G15" s="7">
        <v>7124</v>
      </c>
      <c r="H15" s="7">
        <v>469</v>
      </c>
      <c r="I15" s="7">
        <v>851</v>
      </c>
      <c r="J15" s="7">
        <v>2571</v>
      </c>
      <c r="K15" s="8">
        <v>33802</v>
      </c>
      <c r="L15" s="7">
        <v>216313</v>
      </c>
      <c r="M15" s="7">
        <v>7593.0039341139918</v>
      </c>
      <c r="N15" s="7">
        <v>11015</v>
      </c>
      <c r="O15" s="7">
        <v>5.092158122720317</v>
      </c>
      <c r="P15" s="3" t="s">
        <v>21</v>
      </c>
    </row>
    <row r="16" spans="1:165" ht="14.25" customHeight="1" thickBot="1" x14ac:dyDescent="0.4">
      <c r="A16" s="3" t="s">
        <v>57</v>
      </c>
      <c r="B16" s="3" t="s">
        <v>19</v>
      </c>
      <c r="C16" s="10">
        <v>45907</v>
      </c>
      <c r="D16" s="3" t="s">
        <v>25</v>
      </c>
      <c r="E16" s="3" t="s">
        <v>26</v>
      </c>
      <c r="F16" t="s">
        <v>549</v>
      </c>
      <c r="G16" s="7">
        <v>3015</v>
      </c>
      <c r="H16" s="7">
        <v>997</v>
      </c>
      <c r="I16" s="7">
        <v>783</v>
      </c>
      <c r="J16" s="7">
        <v>617</v>
      </c>
      <c r="K16" s="8">
        <v>77167</v>
      </c>
      <c r="L16" s="7">
        <v>82229</v>
      </c>
      <c r="M16" s="7">
        <v>4012.009522188036</v>
      </c>
      <c r="N16" s="7">
        <v>5412</v>
      </c>
      <c r="O16" s="7">
        <v>6.5816196232472732</v>
      </c>
      <c r="P16" s="3" t="s">
        <v>21</v>
      </c>
    </row>
    <row r="17" spans="1:16" ht="14.25" customHeight="1" thickBot="1" x14ac:dyDescent="0.4">
      <c r="A17" s="3" t="s">
        <v>58</v>
      </c>
      <c r="B17" s="3" t="s">
        <v>23</v>
      </c>
      <c r="C17" s="10" t="s">
        <v>59</v>
      </c>
      <c r="D17" s="3" t="s">
        <v>38</v>
      </c>
      <c r="E17" s="3" t="s">
        <v>42</v>
      </c>
      <c r="F17" t="s">
        <v>552</v>
      </c>
      <c r="G17" s="7">
        <v>4193</v>
      </c>
      <c r="H17" s="7">
        <v>924</v>
      </c>
      <c r="I17" s="7">
        <v>707</v>
      </c>
      <c r="J17" s="7">
        <v>2696</v>
      </c>
      <c r="K17" s="8">
        <v>55075</v>
      </c>
      <c r="L17" s="7">
        <v>126652</v>
      </c>
      <c r="M17" s="7">
        <v>5117.0055822253107</v>
      </c>
      <c r="N17" s="7">
        <v>8520</v>
      </c>
      <c r="O17" s="7">
        <v>6.7270947162303001</v>
      </c>
      <c r="P17" s="3" t="s">
        <v>32</v>
      </c>
    </row>
    <row r="18" spans="1:16" ht="14.25" customHeight="1" thickBot="1" x14ac:dyDescent="0.4">
      <c r="A18" s="3" t="s">
        <v>60</v>
      </c>
      <c r="B18" s="3" t="s">
        <v>19</v>
      </c>
      <c r="C18" s="10" t="s">
        <v>61</v>
      </c>
      <c r="D18" s="3" t="s">
        <v>25</v>
      </c>
      <c r="E18" s="3" t="s">
        <v>62</v>
      </c>
      <c r="F18" t="s">
        <v>554</v>
      </c>
      <c r="G18" s="7">
        <v>10415</v>
      </c>
      <c r="H18" s="7">
        <v>1388</v>
      </c>
      <c r="I18" s="7">
        <v>725</v>
      </c>
      <c r="J18" s="7">
        <v>2462</v>
      </c>
      <c r="K18" s="8">
        <v>53082</v>
      </c>
      <c r="L18" s="7">
        <v>168267</v>
      </c>
      <c r="M18" s="7">
        <v>11803.00430862855</v>
      </c>
      <c r="N18" s="7">
        <v>14990</v>
      </c>
      <c r="O18" s="7">
        <v>8.9084609578824132</v>
      </c>
      <c r="P18" s="3" t="s">
        <v>55</v>
      </c>
    </row>
    <row r="19" spans="1:16" ht="14.25" customHeight="1" thickBot="1" x14ac:dyDescent="0.4">
      <c r="A19" s="3" t="s">
        <v>63</v>
      </c>
      <c r="B19" s="3" t="s">
        <v>19</v>
      </c>
      <c r="C19" s="10" t="s">
        <v>64</v>
      </c>
      <c r="D19" s="3" t="s">
        <v>15</v>
      </c>
      <c r="E19" s="3" t="s">
        <v>42</v>
      </c>
      <c r="F19" t="s">
        <v>552</v>
      </c>
      <c r="G19" s="7">
        <v>15550</v>
      </c>
      <c r="H19" s="7">
        <v>204</v>
      </c>
      <c r="I19" s="7">
        <v>279</v>
      </c>
      <c r="J19" s="7">
        <v>1646</v>
      </c>
      <c r="K19" s="8">
        <v>35819</v>
      </c>
      <c r="L19" s="7">
        <v>219436</v>
      </c>
      <c r="M19" s="7">
        <v>15754.001271441331</v>
      </c>
      <c r="N19" s="7">
        <v>17679</v>
      </c>
      <c r="O19" s="7">
        <v>8.0565631892670293</v>
      </c>
      <c r="P19" s="3" t="s">
        <v>17</v>
      </c>
    </row>
    <row r="20" spans="1:16" ht="14.25" customHeight="1" thickBot="1" x14ac:dyDescent="0.4">
      <c r="A20" s="3" t="s">
        <v>65</v>
      </c>
      <c r="B20" s="3" t="s">
        <v>19</v>
      </c>
      <c r="C20" s="10" t="s">
        <v>66</v>
      </c>
      <c r="D20" s="3" t="s">
        <v>25</v>
      </c>
      <c r="E20" s="3" t="s">
        <v>62</v>
      </c>
      <c r="F20" t="s">
        <v>554</v>
      </c>
      <c r="G20" s="7">
        <v>16512</v>
      </c>
      <c r="H20" s="7">
        <v>1050</v>
      </c>
      <c r="I20" s="7">
        <v>971</v>
      </c>
      <c r="J20" s="7">
        <v>1891</v>
      </c>
      <c r="K20" s="8">
        <v>15865</v>
      </c>
      <c r="L20" s="7">
        <v>166503</v>
      </c>
      <c r="M20" s="7">
        <v>17562.005831726754</v>
      </c>
      <c r="N20" s="7">
        <v>20424</v>
      </c>
      <c r="O20" s="7">
        <v>12.266445649627935</v>
      </c>
      <c r="P20" s="3" t="s">
        <v>32</v>
      </c>
    </row>
    <row r="21" spans="1:16" ht="14.25" customHeight="1" thickBot="1" x14ac:dyDescent="0.4">
      <c r="A21" s="3" t="s">
        <v>67</v>
      </c>
      <c r="B21" s="3" t="s">
        <v>13</v>
      </c>
      <c r="C21" s="10" t="s">
        <v>68</v>
      </c>
      <c r="D21" s="3" t="s">
        <v>30</v>
      </c>
      <c r="E21" s="3" t="s">
        <v>26</v>
      </c>
      <c r="F21" t="s">
        <v>549</v>
      </c>
      <c r="G21" s="7">
        <v>6158</v>
      </c>
      <c r="H21" s="7">
        <v>277</v>
      </c>
      <c r="I21" s="7">
        <v>512</v>
      </c>
      <c r="J21" s="7">
        <v>2189</v>
      </c>
      <c r="K21" s="8">
        <v>76881</v>
      </c>
      <c r="L21" s="7">
        <v>124878</v>
      </c>
      <c r="M21" s="7">
        <v>6435.0041000016017</v>
      </c>
      <c r="N21" s="7">
        <v>9136</v>
      </c>
      <c r="O21" s="7">
        <v>7.3159403577892022</v>
      </c>
      <c r="P21" s="3" t="s">
        <v>32</v>
      </c>
    </row>
    <row r="22" spans="1:16" ht="14.25" customHeight="1" thickBot="1" x14ac:dyDescent="0.4">
      <c r="A22" s="3" t="s">
        <v>69</v>
      </c>
      <c r="B22" s="3" t="s">
        <v>46</v>
      </c>
      <c r="C22" s="10">
        <v>45908</v>
      </c>
      <c r="D22" s="3" t="s">
        <v>38</v>
      </c>
      <c r="E22" s="3" t="s">
        <v>70</v>
      </c>
      <c r="F22" t="s">
        <v>555</v>
      </c>
      <c r="G22" s="7">
        <v>22309</v>
      </c>
      <c r="H22" s="7">
        <v>773</v>
      </c>
      <c r="I22" s="7">
        <v>854</v>
      </c>
      <c r="J22" s="7">
        <v>2387</v>
      </c>
      <c r="K22" s="8">
        <v>72396</v>
      </c>
      <c r="L22" s="7">
        <v>97056</v>
      </c>
      <c r="M22" s="7">
        <v>23082.008799043851</v>
      </c>
      <c r="N22" s="7">
        <v>26323</v>
      </c>
      <c r="O22" s="7">
        <v>27.121455654467525</v>
      </c>
      <c r="P22" s="3" t="s">
        <v>21</v>
      </c>
    </row>
    <row r="23" spans="1:16" ht="14.25" customHeight="1" thickBot="1" x14ac:dyDescent="0.4">
      <c r="A23" s="3" t="s">
        <v>71</v>
      </c>
      <c r="B23" s="3" t="s">
        <v>23</v>
      </c>
      <c r="C23" s="10" t="s">
        <v>72</v>
      </c>
      <c r="D23" s="3" t="s">
        <v>15</v>
      </c>
      <c r="E23" s="3" t="s">
        <v>39</v>
      </c>
      <c r="F23" t="s">
        <v>551</v>
      </c>
      <c r="G23" s="7">
        <v>8970</v>
      </c>
      <c r="H23" s="7">
        <v>331</v>
      </c>
      <c r="I23" s="7">
        <v>968</v>
      </c>
      <c r="J23" s="7">
        <v>2296</v>
      </c>
      <c r="K23" s="8">
        <v>24613</v>
      </c>
      <c r="L23" s="7">
        <v>198562</v>
      </c>
      <c r="M23" s="7">
        <v>9301.0048750516216</v>
      </c>
      <c r="N23" s="7">
        <v>12565</v>
      </c>
      <c r="O23" s="7">
        <v>6.3279983078333215</v>
      </c>
      <c r="P23" s="3" t="s">
        <v>32</v>
      </c>
    </row>
    <row r="24" spans="1:16" ht="14.25" customHeight="1" thickBot="1" x14ac:dyDescent="0.4">
      <c r="A24" s="3" t="s">
        <v>73</v>
      </c>
      <c r="B24" s="3" t="s">
        <v>46</v>
      </c>
      <c r="C24" s="10" t="s">
        <v>74</v>
      </c>
      <c r="D24" s="3" t="s">
        <v>38</v>
      </c>
      <c r="E24" s="3" t="s">
        <v>62</v>
      </c>
      <c r="F24" t="s">
        <v>554</v>
      </c>
      <c r="G24" s="7">
        <v>8938</v>
      </c>
      <c r="H24" s="7">
        <v>800</v>
      </c>
      <c r="I24" s="7">
        <v>842</v>
      </c>
      <c r="J24" s="7">
        <v>2072</v>
      </c>
      <c r="K24" s="8">
        <v>31736</v>
      </c>
      <c r="L24" s="7">
        <v>59975</v>
      </c>
      <c r="M24" s="7">
        <v>9738.0140391829937</v>
      </c>
      <c r="N24" s="7">
        <v>12652</v>
      </c>
      <c r="O24" s="7">
        <v>21.095456440183412</v>
      </c>
      <c r="P24" s="3" t="s">
        <v>32</v>
      </c>
    </row>
    <row r="25" spans="1:16" ht="14.25" customHeight="1" thickBot="1" x14ac:dyDescent="0.4">
      <c r="A25" s="3" t="s">
        <v>75</v>
      </c>
      <c r="B25" s="3" t="s">
        <v>19</v>
      </c>
      <c r="C25" s="10" t="s">
        <v>76</v>
      </c>
      <c r="D25" s="3" t="s">
        <v>30</v>
      </c>
      <c r="E25" s="3" t="s">
        <v>48</v>
      </c>
      <c r="F25" t="s">
        <v>553</v>
      </c>
      <c r="G25" s="7">
        <v>23168</v>
      </c>
      <c r="H25" s="7">
        <v>1265</v>
      </c>
      <c r="I25" s="7">
        <v>441</v>
      </c>
      <c r="J25" s="7">
        <v>1612</v>
      </c>
      <c r="K25" s="8">
        <v>66615</v>
      </c>
      <c r="L25" s="7">
        <v>197795</v>
      </c>
      <c r="M25" s="7">
        <v>24433.002229581132</v>
      </c>
      <c r="N25" s="7">
        <v>26486</v>
      </c>
      <c r="O25" s="7">
        <v>13.390631714654061</v>
      </c>
      <c r="P25" s="3" t="s">
        <v>32</v>
      </c>
    </row>
    <row r="26" spans="1:16" ht="14.25" customHeight="1" thickBot="1" x14ac:dyDescent="0.4">
      <c r="A26" s="3" t="s">
        <v>77</v>
      </c>
      <c r="B26" s="3" t="s">
        <v>19</v>
      </c>
      <c r="C26" s="10">
        <v>45909</v>
      </c>
      <c r="D26" s="3" t="s">
        <v>30</v>
      </c>
      <c r="E26" s="3" t="s">
        <v>42</v>
      </c>
      <c r="F26" t="s">
        <v>552</v>
      </c>
      <c r="G26" s="7">
        <v>15772</v>
      </c>
      <c r="H26" s="7">
        <v>288</v>
      </c>
      <c r="I26" s="7">
        <v>520</v>
      </c>
      <c r="J26" s="7">
        <v>1585</v>
      </c>
      <c r="K26" s="8">
        <v>59182</v>
      </c>
      <c r="L26" s="7">
        <v>194351</v>
      </c>
      <c r="M26" s="7">
        <v>16060.002675571517</v>
      </c>
      <c r="N26" s="7">
        <v>18165</v>
      </c>
      <c r="O26" s="7">
        <v>9.3464916568476628</v>
      </c>
      <c r="P26" s="3" t="s">
        <v>21</v>
      </c>
    </row>
    <row r="27" spans="1:16" ht="14.25" customHeight="1" thickBot="1" x14ac:dyDescent="0.4">
      <c r="A27" s="3" t="s">
        <v>78</v>
      </c>
      <c r="B27" s="3" t="s">
        <v>46</v>
      </c>
      <c r="C27" s="10" t="s">
        <v>79</v>
      </c>
      <c r="D27" s="3" t="s">
        <v>30</v>
      </c>
      <c r="E27" s="3" t="s">
        <v>42</v>
      </c>
      <c r="F27" t="s">
        <v>552</v>
      </c>
      <c r="G27" s="7">
        <v>22384</v>
      </c>
      <c r="H27" s="7">
        <v>601</v>
      </c>
      <c r="I27" s="7">
        <v>943</v>
      </c>
      <c r="J27" s="7">
        <v>515</v>
      </c>
      <c r="K27" s="8">
        <v>41309</v>
      </c>
      <c r="L27" s="7">
        <v>249373</v>
      </c>
      <c r="M27" s="7">
        <v>22985.003781483963</v>
      </c>
      <c r="N27" s="7">
        <v>24443</v>
      </c>
      <c r="O27" s="7">
        <v>9.8017828714415742</v>
      </c>
      <c r="P27" s="3" t="s">
        <v>17</v>
      </c>
    </row>
    <row r="28" spans="1:16" ht="14.25" customHeight="1" thickBot="1" x14ac:dyDescent="0.4">
      <c r="A28" s="3" t="s">
        <v>80</v>
      </c>
      <c r="B28" s="3" t="s">
        <v>46</v>
      </c>
      <c r="C28" s="10" t="s">
        <v>81</v>
      </c>
      <c r="D28" s="3" t="s">
        <v>25</v>
      </c>
      <c r="E28" s="3" t="s">
        <v>48</v>
      </c>
      <c r="F28" t="s">
        <v>553</v>
      </c>
      <c r="G28" s="7">
        <v>20017</v>
      </c>
      <c r="H28" s="7">
        <v>495</v>
      </c>
      <c r="I28" s="7">
        <v>178</v>
      </c>
      <c r="J28" s="7">
        <v>2683</v>
      </c>
      <c r="K28" s="8">
        <v>32244</v>
      </c>
      <c r="L28" s="7">
        <v>182633</v>
      </c>
      <c r="M28" s="7">
        <v>20512.000974632185</v>
      </c>
      <c r="N28" s="7">
        <v>23373</v>
      </c>
      <c r="O28" s="7">
        <v>12.797796674204553</v>
      </c>
      <c r="P28" s="3" t="s">
        <v>17</v>
      </c>
    </row>
    <row r="29" spans="1:16" ht="14.25" customHeight="1" thickBot="1" x14ac:dyDescent="0.4">
      <c r="A29" s="3" t="s">
        <v>82</v>
      </c>
      <c r="B29" s="3" t="s">
        <v>46</v>
      </c>
      <c r="C29" s="10" t="s">
        <v>83</v>
      </c>
      <c r="D29" s="3" t="s">
        <v>25</v>
      </c>
      <c r="E29" s="3" t="s">
        <v>35</v>
      </c>
      <c r="F29" t="s">
        <v>545</v>
      </c>
      <c r="G29" s="7">
        <v>12344</v>
      </c>
      <c r="H29" s="7">
        <v>815</v>
      </c>
      <c r="I29" s="7">
        <v>298</v>
      </c>
      <c r="J29" s="7">
        <v>2439</v>
      </c>
      <c r="K29" s="8">
        <v>6259</v>
      </c>
      <c r="L29" s="7">
        <v>237133</v>
      </c>
      <c r="M29" s="7">
        <v>13159.001256678741</v>
      </c>
      <c r="N29" s="7">
        <v>15896</v>
      </c>
      <c r="O29" s="7">
        <v>6.7034111658858118</v>
      </c>
      <c r="P29" s="3" t="s">
        <v>32</v>
      </c>
    </row>
    <row r="30" spans="1:16" ht="14.25" customHeight="1" thickBot="1" x14ac:dyDescent="0.4">
      <c r="A30" s="3" t="s">
        <v>84</v>
      </c>
      <c r="B30" s="3" t="s">
        <v>19</v>
      </c>
      <c r="C30" s="10">
        <v>45910</v>
      </c>
      <c r="D30" s="3" t="s">
        <v>38</v>
      </c>
      <c r="E30" s="3" t="s">
        <v>85</v>
      </c>
      <c r="F30" t="s">
        <v>546</v>
      </c>
      <c r="G30" s="7">
        <v>9266</v>
      </c>
      <c r="H30" s="7">
        <v>999</v>
      </c>
      <c r="I30" s="7">
        <v>928</v>
      </c>
      <c r="J30" s="7">
        <v>2700</v>
      </c>
      <c r="K30" s="8">
        <v>12264</v>
      </c>
      <c r="L30" s="7">
        <v>128397</v>
      </c>
      <c r="M30" s="7">
        <v>10265.007227583199</v>
      </c>
      <c r="N30" s="7">
        <v>13893</v>
      </c>
      <c r="O30" s="7">
        <v>10.820346269772658</v>
      </c>
      <c r="P30" s="3" t="s">
        <v>21</v>
      </c>
    </row>
    <row r="31" spans="1:16" ht="14.25" customHeight="1" thickBot="1" x14ac:dyDescent="0.4">
      <c r="A31" s="3" t="s">
        <v>86</v>
      </c>
      <c r="B31" s="3" t="s">
        <v>19</v>
      </c>
      <c r="C31" s="10" t="s">
        <v>87</v>
      </c>
      <c r="D31" s="3" t="s">
        <v>38</v>
      </c>
      <c r="E31" s="3" t="s">
        <v>70</v>
      </c>
      <c r="F31" t="s">
        <v>555</v>
      </c>
      <c r="G31" s="7">
        <v>10702</v>
      </c>
      <c r="H31" s="7">
        <v>621</v>
      </c>
      <c r="I31" s="7">
        <v>445</v>
      </c>
      <c r="J31" s="7">
        <v>2918</v>
      </c>
      <c r="K31" s="8">
        <v>54808</v>
      </c>
      <c r="L31" s="7">
        <v>220225</v>
      </c>
      <c r="M31" s="7">
        <v>11323.002020660688</v>
      </c>
      <c r="N31" s="7">
        <v>14686</v>
      </c>
      <c r="O31" s="7">
        <v>6.6686343512316952</v>
      </c>
      <c r="P31" s="3" t="s">
        <v>17</v>
      </c>
    </row>
    <row r="32" spans="1:16" ht="14.25" customHeight="1" thickBot="1" x14ac:dyDescent="0.4">
      <c r="A32" s="3" t="s">
        <v>88</v>
      </c>
      <c r="B32" s="3" t="s">
        <v>23</v>
      </c>
      <c r="C32" s="10" t="s">
        <v>89</v>
      </c>
      <c r="D32" s="3" t="s">
        <v>15</v>
      </c>
      <c r="E32" s="3" t="s">
        <v>31</v>
      </c>
      <c r="F32" t="s">
        <v>550</v>
      </c>
      <c r="G32" s="7">
        <v>2384</v>
      </c>
      <c r="H32" s="7">
        <v>1246</v>
      </c>
      <c r="I32" s="7">
        <v>160</v>
      </c>
      <c r="J32" s="7">
        <v>2004</v>
      </c>
      <c r="K32" s="8">
        <v>2701</v>
      </c>
      <c r="L32" s="7">
        <v>73142</v>
      </c>
      <c r="M32" s="7">
        <v>3630.0021875256352</v>
      </c>
      <c r="N32" s="7">
        <v>5794</v>
      </c>
      <c r="O32" s="7">
        <v>7.9215772059828824</v>
      </c>
      <c r="P32" s="3" t="s">
        <v>17</v>
      </c>
    </row>
    <row r="33" spans="1:16" ht="14.25" customHeight="1" thickBot="1" x14ac:dyDescent="0.4">
      <c r="A33" s="3" t="s">
        <v>90</v>
      </c>
      <c r="B33" s="3" t="s">
        <v>23</v>
      </c>
      <c r="C33" s="10" t="s">
        <v>91</v>
      </c>
      <c r="D33" s="3" t="s">
        <v>15</v>
      </c>
      <c r="E33" s="3" t="s">
        <v>62</v>
      </c>
      <c r="F33" t="s">
        <v>554</v>
      </c>
      <c r="G33" s="7">
        <v>2404</v>
      </c>
      <c r="H33" s="7">
        <v>774</v>
      </c>
      <c r="I33" s="7">
        <v>661</v>
      </c>
      <c r="J33" s="7">
        <v>662</v>
      </c>
      <c r="K33" s="8">
        <v>12676</v>
      </c>
      <c r="L33" s="7">
        <v>66916</v>
      </c>
      <c r="M33" s="7">
        <v>3178.0098780560702</v>
      </c>
      <c r="N33" s="7">
        <v>4501</v>
      </c>
      <c r="O33" s="7">
        <v>6.7263434754019968</v>
      </c>
      <c r="P33" s="3" t="s">
        <v>17</v>
      </c>
    </row>
    <row r="34" spans="1:16" ht="14.25" customHeight="1" thickBot="1" x14ac:dyDescent="0.4">
      <c r="A34" s="3" t="s">
        <v>92</v>
      </c>
      <c r="B34" s="3" t="s">
        <v>19</v>
      </c>
      <c r="C34" s="10">
        <v>45911</v>
      </c>
      <c r="D34" s="3" t="s">
        <v>38</v>
      </c>
      <c r="E34" s="3" t="s">
        <v>48</v>
      </c>
      <c r="F34" t="s">
        <v>553</v>
      </c>
      <c r="G34" s="7">
        <v>10175</v>
      </c>
      <c r="H34" s="7">
        <v>342</v>
      </c>
      <c r="I34" s="7">
        <v>825</v>
      </c>
      <c r="J34" s="7">
        <v>2904</v>
      </c>
      <c r="K34" s="8">
        <v>15954</v>
      </c>
      <c r="L34" s="7">
        <v>104324</v>
      </c>
      <c r="M34" s="7">
        <v>10517.007908055673</v>
      </c>
      <c r="N34" s="7">
        <v>14246</v>
      </c>
      <c r="O34" s="7">
        <v>13.655534680418697</v>
      </c>
      <c r="P34" s="3" t="s">
        <v>21</v>
      </c>
    </row>
    <row r="35" spans="1:16" ht="14.25" customHeight="1" thickBot="1" x14ac:dyDescent="0.4">
      <c r="A35" s="3" t="s">
        <v>93</v>
      </c>
      <c r="B35" s="3" t="s">
        <v>46</v>
      </c>
      <c r="C35" s="10">
        <v>45912</v>
      </c>
      <c r="D35" s="3" t="s">
        <v>25</v>
      </c>
      <c r="E35" s="3" t="s">
        <v>26</v>
      </c>
      <c r="F35" t="s">
        <v>549</v>
      </c>
      <c r="G35" s="7">
        <v>17158</v>
      </c>
      <c r="H35" s="7">
        <v>1192</v>
      </c>
      <c r="I35" s="7">
        <v>262</v>
      </c>
      <c r="J35" s="7">
        <v>2016</v>
      </c>
      <c r="K35" s="8">
        <v>28771</v>
      </c>
      <c r="L35" s="7">
        <v>216037</v>
      </c>
      <c r="M35" s="7">
        <v>18350.001212755222</v>
      </c>
      <c r="N35" s="7">
        <v>20628</v>
      </c>
      <c r="O35" s="7">
        <v>9.5483644005424999</v>
      </c>
      <c r="P35" s="3" t="s">
        <v>21</v>
      </c>
    </row>
    <row r="36" spans="1:16" ht="14.25" customHeight="1" thickBot="1" x14ac:dyDescent="0.4">
      <c r="A36" s="3" t="s">
        <v>94</v>
      </c>
      <c r="B36" s="3" t="s">
        <v>46</v>
      </c>
      <c r="C36" s="10" t="s">
        <v>95</v>
      </c>
      <c r="D36" s="3" t="s">
        <v>30</v>
      </c>
      <c r="E36" s="3" t="s">
        <v>62</v>
      </c>
      <c r="F36" t="s">
        <v>554</v>
      </c>
      <c r="G36" s="7">
        <v>14763</v>
      </c>
      <c r="H36" s="7">
        <v>864</v>
      </c>
      <c r="I36" s="7">
        <v>336</v>
      </c>
      <c r="J36" s="7">
        <v>1493</v>
      </c>
      <c r="K36" s="8">
        <v>33310</v>
      </c>
      <c r="L36" s="7">
        <v>165932</v>
      </c>
      <c r="M36" s="7">
        <v>15627.002024925874</v>
      </c>
      <c r="N36" s="7">
        <v>17456</v>
      </c>
      <c r="O36" s="7">
        <v>10.519972036737942</v>
      </c>
      <c r="P36" s="3" t="s">
        <v>32</v>
      </c>
    </row>
    <row r="37" spans="1:16" ht="14.25" customHeight="1" thickBot="1" x14ac:dyDescent="0.4">
      <c r="A37" s="3" t="s">
        <v>96</v>
      </c>
      <c r="B37" s="3" t="s">
        <v>23</v>
      </c>
      <c r="C37" s="10" t="s">
        <v>97</v>
      </c>
      <c r="D37" s="3" t="s">
        <v>38</v>
      </c>
      <c r="E37" s="3" t="s">
        <v>85</v>
      </c>
      <c r="F37" t="s">
        <v>546</v>
      </c>
      <c r="G37" s="7">
        <v>20384</v>
      </c>
      <c r="H37" s="7">
        <v>344</v>
      </c>
      <c r="I37" s="7">
        <v>956</v>
      </c>
      <c r="J37" s="7">
        <v>655</v>
      </c>
      <c r="K37" s="8">
        <v>67621</v>
      </c>
      <c r="L37" s="7">
        <v>175720</v>
      </c>
      <c r="M37" s="7">
        <v>20728.00544047348</v>
      </c>
      <c r="N37" s="7">
        <v>22339</v>
      </c>
      <c r="O37" s="7">
        <v>12.712838606874573</v>
      </c>
      <c r="P37" s="3" t="s">
        <v>27</v>
      </c>
    </row>
    <row r="38" spans="1:16" ht="14.25" customHeight="1" thickBot="1" x14ac:dyDescent="0.4">
      <c r="A38" s="3" t="s">
        <v>98</v>
      </c>
      <c r="B38" s="3" t="s">
        <v>19</v>
      </c>
      <c r="C38" s="10" t="s">
        <v>99</v>
      </c>
      <c r="D38" s="3" t="s">
        <v>15</v>
      </c>
      <c r="E38" s="3" t="s">
        <v>26</v>
      </c>
      <c r="F38" t="s">
        <v>549</v>
      </c>
      <c r="G38" s="7">
        <v>11860</v>
      </c>
      <c r="H38" s="7">
        <v>1448</v>
      </c>
      <c r="I38" s="7">
        <v>893</v>
      </c>
      <c r="J38" s="7">
        <v>490</v>
      </c>
      <c r="K38" s="8">
        <v>23518</v>
      </c>
      <c r="L38" s="7">
        <v>206205</v>
      </c>
      <c r="M38" s="7">
        <v>13308.004330641837</v>
      </c>
      <c r="N38" s="7">
        <v>14691</v>
      </c>
      <c r="O38" s="7">
        <v>7.1244635193133048</v>
      </c>
      <c r="P38" s="3" t="s">
        <v>17</v>
      </c>
    </row>
    <row r="39" spans="1:16" ht="14.25" customHeight="1" thickBot="1" x14ac:dyDescent="0.4">
      <c r="A39" s="3" t="s">
        <v>100</v>
      </c>
      <c r="B39" s="3" t="s">
        <v>23</v>
      </c>
      <c r="C39" s="10" t="s">
        <v>101</v>
      </c>
      <c r="D39" s="3" t="s">
        <v>25</v>
      </c>
      <c r="E39" s="3" t="s">
        <v>20</v>
      </c>
      <c r="F39" t="s">
        <v>548</v>
      </c>
      <c r="G39" s="7">
        <v>7989</v>
      </c>
      <c r="H39" s="7">
        <v>1206</v>
      </c>
      <c r="I39" s="7">
        <v>376</v>
      </c>
      <c r="J39" s="7">
        <v>2769</v>
      </c>
      <c r="K39" s="8">
        <v>27550</v>
      </c>
      <c r="L39" s="7">
        <v>221749</v>
      </c>
      <c r="M39" s="7">
        <v>9195.0016956108029</v>
      </c>
      <c r="N39" s="7">
        <v>12340</v>
      </c>
      <c r="O39" s="7">
        <v>5.5648503488178074</v>
      </c>
      <c r="P39" s="3" t="s">
        <v>27</v>
      </c>
    </row>
    <row r="40" spans="1:16" ht="14.25" customHeight="1" thickBot="1" x14ac:dyDescent="0.4">
      <c r="A40" s="3" t="s">
        <v>102</v>
      </c>
      <c r="B40" s="3" t="s">
        <v>23</v>
      </c>
      <c r="C40" s="10">
        <v>45913</v>
      </c>
      <c r="D40" s="3" t="s">
        <v>38</v>
      </c>
      <c r="E40" s="3" t="s">
        <v>39</v>
      </c>
      <c r="F40" t="s">
        <v>551</v>
      </c>
      <c r="G40" s="7">
        <v>17106</v>
      </c>
      <c r="H40" s="7">
        <v>702</v>
      </c>
      <c r="I40" s="7">
        <v>459</v>
      </c>
      <c r="J40" s="7">
        <v>999</v>
      </c>
      <c r="K40" s="8">
        <v>59627</v>
      </c>
      <c r="L40" s="7">
        <v>136059</v>
      </c>
      <c r="M40" s="7">
        <v>17808.003373536481</v>
      </c>
      <c r="N40" s="7">
        <v>19266</v>
      </c>
      <c r="O40" s="7">
        <v>14.160033514872225</v>
      </c>
      <c r="P40" s="3" t="s">
        <v>21</v>
      </c>
    </row>
    <row r="41" spans="1:16" ht="14.25" customHeight="1" thickBot="1" x14ac:dyDescent="0.4">
      <c r="A41" s="3" t="s">
        <v>103</v>
      </c>
      <c r="B41" s="3" t="s">
        <v>13</v>
      </c>
      <c r="C41" s="10">
        <v>45914</v>
      </c>
      <c r="D41" s="3" t="s">
        <v>38</v>
      </c>
      <c r="E41" s="3" t="s">
        <v>42</v>
      </c>
      <c r="F41" t="s">
        <v>552</v>
      </c>
      <c r="G41" s="7">
        <v>19844</v>
      </c>
      <c r="H41" s="7">
        <v>1020</v>
      </c>
      <c r="I41" s="7">
        <v>247</v>
      </c>
      <c r="J41" s="7">
        <v>2354</v>
      </c>
      <c r="K41" s="8">
        <v>37792</v>
      </c>
      <c r="L41" s="7">
        <v>138317</v>
      </c>
      <c r="M41" s="7">
        <v>20864.001785753018</v>
      </c>
      <c r="N41" s="7">
        <v>23465</v>
      </c>
      <c r="O41" s="7">
        <v>16.964653657901778</v>
      </c>
      <c r="P41" s="3" t="s">
        <v>21</v>
      </c>
    </row>
    <row r="42" spans="1:16" ht="14.25" customHeight="1" thickBot="1" x14ac:dyDescent="0.4">
      <c r="A42" s="3" t="s">
        <v>104</v>
      </c>
      <c r="B42" s="3" t="s">
        <v>13</v>
      </c>
      <c r="C42" s="10">
        <v>45915</v>
      </c>
      <c r="D42" s="3" t="s">
        <v>25</v>
      </c>
      <c r="E42" s="3" t="s">
        <v>20</v>
      </c>
      <c r="F42" t="s">
        <v>548</v>
      </c>
      <c r="G42" s="7">
        <v>5636</v>
      </c>
      <c r="H42" s="7">
        <v>303</v>
      </c>
      <c r="I42" s="7">
        <v>204</v>
      </c>
      <c r="J42" s="7">
        <v>2480</v>
      </c>
      <c r="K42" s="8">
        <v>7377</v>
      </c>
      <c r="L42" s="7">
        <v>241207</v>
      </c>
      <c r="M42" s="7">
        <v>5939.0008457465992</v>
      </c>
      <c r="N42" s="7">
        <v>8623</v>
      </c>
      <c r="O42" s="7">
        <v>3.5749377091046282</v>
      </c>
      <c r="P42" s="3" t="s">
        <v>21</v>
      </c>
    </row>
    <row r="43" spans="1:16" ht="14.25" customHeight="1" thickBot="1" x14ac:dyDescent="0.4">
      <c r="A43" s="3" t="s">
        <v>105</v>
      </c>
      <c r="B43" s="3" t="s">
        <v>13</v>
      </c>
      <c r="C43" s="10" t="s">
        <v>106</v>
      </c>
      <c r="D43" s="3" t="s">
        <v>38</v>
      </c>
      <c r="E43" s="3" t="s">
        <v>62</v>
      </c>
      <c r="F43" t="s">
        <v>554</v>
      </c>
      <c r="G43" s="7">
        <v>12916</v>
      </c>
      <c r="H43" s="7">
        <v>1262</v>
      </c>
      <c r="I43" s="7">
        <v>772</v>
      </c>
      <c r="J43" s="7">
        <v>856</v>
      </c>
      <c r="K43" s="8">
        <v>11496</v>
      </c>
      <c r="L43" s="7">
        <v>75046</v>
      </c>
      <c r="M43" s="7">
        <v>14178.010287023959</v>
      </c>
      <c r="N43" s="7">
        <v>15806</v>
      </c>
      <c r="O43" s="7">
        <v>21.061748794072969</v>
      </c>
      <c r="P43" s="3" t="s">
        <v>27</v>
      </c>
    </row>
    <row r="44" spans="1:16" ht="14.25" customHeight="1" thickBot="1" x14ac:dyDescent="0.4">
      <c r="A44" s="3" t="s">
        <v>107</v>
      </c>
      <c r="B44" s="3" t="s">
        <v>46</v>
      </c>
      <c r="C44" s="10">
        <v>45916</v>
      </c>
      <c r="D44" s="3" t="s">
        <v>25</v>
      </c>
      <c r="E44" s="3" t="s">
        <v>85</v>
      </c>
      <c r="F44" t="s">
        <v>546</v>
      </c>
      <c r="G44" s="7">
        <v>6809</v>
      </c>
      <c r="H44" s="7">
        <v>397</v>
      </c>
      <c r="I44" s="7">
        <v>813</v>
      </c>
      <c r="J44" s="7">
        <v>1125</v>
      </c>
      <c r="K44" s="8">
        <v>12206</v>
      </c>
      <c r="L44" s="7">
        <v>218136</v>
      </c>
      <c r="M44" s="7">
        <v>7206.0037270326766</v>
      </c>
      <c r="N44" s="7">
        <v>9144</v>
      </c>
      <c r="O44" s="7">
        <v>4.1918802948619209</v>
      </c>
      <c r="P44" s="3" t="s">
        <v>21</v>
      </c>
    </row>
    <row r="45" spans="1:16" ht="14.25" customHeight="1" thickBot="1" x14ac:dyDescent="0.4">
      <c r="A45" s="3" t="s">
        <v>108</v>
      </c>
      <c r="B45" s="3" t="s">
        <v>19</v>
      </c>
      <c r="C45" s="10" t="s">
        <v>109</v>
      </c>
      <c r="D45" s="3" t="s">
        <v>30</v>
      </c>
      <c r="E45" s="3" t="s">
        <v>70</v>
      </c>
      <c r="F45" t="s">
        <v>555</v>
      </c>
      <c r="G45" s="7">
        <v>22562</v>
      </c>
      <c r="H45" s="7">
        <v>778</v>
      </c>
      <c r="I45" s="7">
        <v>907</v>
      </c>
      <c r="J45" s="7">
        <v>1354</v>
      </c>
      <c r="K45" s="8">
        <v>34475</v>
      </c>
      <c r="L45" s="7">
        <v>141459</v>
      </c>
      <c r="M45" s="7">
        <v>23340.006411751816</v>
      </c>
      <c r="N45" s="7">
        <v>25601</v>
      </c>
      <c r="O45" s="7">
        <v>18.097823397592236</v>
      </c>
      <c r="P45" s="3" t="s">
        <v>32</v>
      </c>
    </row>
    <row r="46" spans="1:16" ht="14.25" customHeight="1" thickBot="1" x14ac:dyDescent="0.4">
      <c r="A46" s="3" t="s">
        <v>110</v>
      </c>
      <c r="B46" s="3" t="s">
        <v>19</v>
      </c>
      <c r="C46" s="10">
        <v>45917</v>
      </c>
      <c r="D46" s="3" t="s">
        <v>25</v>
      </c>
      <c r="E46" s="3" t="s">
        <v>39</v>
      </c>
      <c r="F46" t="s">
        <v>551</v>
      </c>
      <c r="G46" s="7">
        <v>15456</v>
      </c>
      <c r="H46" s="7">
        <v>590</v>
      </c>
      <c r="I46" s="7">
        <v>555</v>
      </c>
      <c r="J46" s="7">
        <v>2882</v>
      </c>
      <c r="K46" s="8">
        <v>49816</v>
      </c>
      <c r="L46" s="7">
        <v>240422</v>
      </c>
      <c r="M46" s="7">
        <v>16046.002308440991</v>
      </c>
      <c r="N46" s="7">
        <v>19483</v>
      </c>
      <c r="O46" s="7">
        <v>8.1036677175965597</v>
      </c>
      <c r="P46" s="3" t="s">
        <v>21</v>
      </c>
    </row>
    <row r="47" spans="1:16" ht="14.25" customHeight="1" thickBot="1" x14ac:dyDescent="0.4">
      <c r="A47" s="3" t="s">
        <v>111</v>
      </c>
      <c r="B47" s="3" t="s">
        <v>19</v>
      </c>
      <c r="C47" s="10" t="s">
        <v>112</v>
      </c>
      <c r="D47" s="3" t="s">
        <v>25</v>
      </c>
      <c r="E47" s="3" t="s">
        <v>62</v>
      </c>
      <c r="F47" t="s">
        <v>554</v>
      </c>
      <c r="G47" s="7">
        <v>17444</v>
      </c>
      <c r="H47" s="7">
        <v>1402</v>
      </c>
      <c r="I47" s="7">
        <v>218</v>
      </c>
      <c r="J47" s="7">
        <v>725</v>
      </c>
      <c r="K47" s="8">
        <v>8710</v>
      </c>
      <c r="L47" s="7">
        <v>85893</v>
      </c>
      <c r="M47" s="7">
        <v>18846.002538041517</v>
      </c>
      <c r="N47" s="7">
        <v>19789</v>
      </c>
      <c r="O47" s="7">
        <v>23.039130080448931</v>
      </c>
      <c r="P47" s="3" t="s">
        <v>55</v>
      </c>
    </row>
    <row r="48" spans="1:16" ht="14.25" customHeight="1" thickBot="1" x14ac:dyDescent="0.4">
      <c r="A48" s="3" t="s">
        <v>113</v>
      </c>
      <c r="B48" s="3" t="s">
        <v>19</v>
      </c>
      <c r="C48" s="10" t="s">
        <v>114</v>
      </c>
      <c r="D48" s="3" t="s">
        <v>25</v>
      </c>
      <c r="E48" s="3" t="s">
        <v>48</v>
      </c>
      <c r="F48" t="s">
        <v>553</v>
      </c>
      <c r="G48" s="7">
        <v>24984</v>
      </c>
      <c r="H48" s="7">
        <v>753</v>
      </c>
      <c r="I48" s="7">
        <v>461</v>
      </c>
      <c r="J48" s="7">
        <v>2710</v>
      </c>
      <c r="K48" s="8">
        <v>20792</v>
      </c>
      <c r="L48" s="7">
        <v>141520</v>
      </c>
      <c r="M48" s="7">
        <v>25737.003257490109</v>
      </c>
      <c r="N48" s="7">
        <v>28908</v>
      </c>
      <c r="O48" s="7">
        <v>20.426794799321652</v>
      </c>
      <c r="P48" s="3" t="s">
        <v>27</v>
      </c>
    </row>
    <row r="49" spans="1:16" ht="14.25" customHeight="1" thickBot="1" x14ac:dyDescent="0.4">
      <c r="A49" s="3" t="s">
        <v>115</v>
      </c>
      <c r="B49" s="3" t="s">
        <v>13</v>
      </c>
      <c r="C49" s="10" t="s">
        <v>47</v>
      </c>
      <c r="D49" s="3" t="s">
        <v>38</v>
      </c>
      <c r="E49" s="3" t="s">
        <v>16</v>
      </c>
      <c r="F49" t="s">
        <v>547</v>
      </c>
      <c r="G49" s="7">
        <v>7997</v>
      </c>
      <c r="H49" s="7">
        <v>1238</v>
      </c>
      <c r="I49" s="7">
        <v>438</v>
      </c>
      <c r="J49" s="7">
        <v>1874</v>
      </c>
      <c r="K49" s="8">
        <v>36272</v>
      </c>
      <c r="L49" s="7">
        <v>165818</v>
      </c>
      <c r="M49" s="7">
        <v>9235.0026414502645</v>
      </c>
      <c r="N49" s="7">
        <v>11547</v>
      </c>
      <c r="O49" s="7">
        <v>6.9636589513804292</v>
      </c>
      <c r="P49" s="3" t="s">
        <v>55</v>
      </c>
    </row>
    <row r="50" spans="1:16" ht="14.25" customHeight="1" thickBot="1" x14ac:dyDescent="0.4">
      <c r="A50" s="3" t="s">
        <v>116</v>
      </c>
      <c r="B50" s="3" t="s">
        <v>46</v>
      </c>
      <c r="C50" s="10">
        <v>45918</v>
      </c>
      <c r="D50" s="3" t="s">
        <v>38</v>
      </c>
      <c r="E50" s="3" t="s">
        <v>62</v>
      </c>
      <c r="F50" t="s">
        <v>554</v>
      </c>
      <c r="G50" s="7">
        <v>4048</v>
      </c>
      <c r="H50" s="7">
        <v>677</v>
      </c>
      <c r="I50" s="7">
        <v>911</v>
      </c>
      <c r="J50" s="7">
        <v>2429</v>
      </c>
      <c r="K50" s="8">
        <v>27361</v>
      </c>
      <c r="L50" s="7">
        <v>101272</v>
      </c>
      <c r="M50" s="7">
        <v>4725.0089955762696</v>
      </c>
      <c r="N50" s="7">
        <v>8065</v>
      </c>
      <c r="O50" s="7">
        <v>7.9637017141954338</v>
      </c>
      <c r="P50" s="3" t="s">
        <v>21</v>
      </c>
    </row>
    <row r="51" spans="1:16" ht="14.25" customHeight="1" thickBot="1" x14ac:dyDescent="0.4">
      <c r="A51" s="3" t="s">
        <v>117</v>
      </c>
      <c r="B51" s="3" t="s">
        <v>46</v>
      </c>
      <c r="C51" s="10" t="s">
        <v>118</v>
      </c>
      <c r="D51" s="3" t="s">
        <v>25</v>
      </c>
      <c r="E51" s="3" t="s">
        <v>39</v>
      </c>
      <c r="F51" t="s">
        <v>551</v>
      </c>
      <c r="G51" s="7">
        <v>14338</v>
      </c>
      <c r="H51" s="7">
        <v>1454</v>
      </c>
      <c r="I51" s="7">
        <v>697</v>
      </c>
      <c r="J51" s="7">
        <v>2703</v>
      </c>
      <c r="K51" s="8">
        <v>21288</v>
      </c>
      <c r="L51" s="7">
        <v>107649</v>
      </c>
      <c r="M51" s="7">
        <v>15792.006474746629</v>
      </c>
      <c r="N51" s="7">
        <v>19192</v>
      </c>
      <c r="O51" s="7">
        <v>17.828312385623647</v>
      </c>
      <c r="P51" s="3" t="s">
        <v>32</v>
      </c>
    </row>
    <row r="52" spans="1:16" ht="14.25" customHeight="1" thickBot="1" x14ac:dyDescent="0.4">
      <c r="A52" s="3" t="s">
        <v>119</v>
      </c>
      <c r="B52" s="3" t="s">
        <v>13</v>
      </c>
      <c r="C52" s="10" t="s">
        <v>120</v>
      </c>
      <c r="D52" s="3" t="s">
        <v>38</v>
      </c>
      <c r="E52" s="3" t="s">
        <v>42</v>
      </c>
      <c r="F52" t="s">
        <v>552</v>
      </c>
      <c r="G52" s="7">
        <v>23164</v>
      </c>
      <c r="H52" s="7">
        <v>1122</v>
      </c>
      <c r="I52" s="7">
        <v>900</v>
      </c>
      <c r="J52" s="7">
        <v>888</v>
      </c>
      <c r="K52" s="8">
        <v>36938</v>
      </c>
      <c r="L52" s="7">
        <v>104674</v>
      </c>
      <c r="M52" s="7">
        <v>24286.008598123699</v>
      </c>
      <c r="N52" s="7">
        <v>26074</v>
      </c>
      <c r="O52" s="7">
        <v>24.909719701167436</v>
      </c>
      <c r="P52" s="3" t="s">
        <v>17</v>
      </c>
    </row>
    <row r="53" spans="1:16" ht="14.25" customHeight="1" thickBot="1" x14ac:dyDescent="0.4">
      <c r="A53" s="3" t="s">
        <v>121</v>
      </c>
      <c r="B53" s="3" t="s">
        <v>46</v>
      </c>
      <c r="C53" s="10">
        <v>45919</v>
      </c>
      <c r="D53" s="3" t="s">
        <v>15</v>
      </c>
      <c r="E53" s="3" t="s">
        <v>42</v>
      </c>
      <c r="F53" t="s">
        <v>552</v>
      </c>
      <c r="G53" s="7">
        <v>19100</v>
      </c>
      <c r="H53" s="7">
        <v>619</v>
      </c>
      <c r="I53" s="7">
        <v>297</v>
      </c>
      <c r="J53" s="7">
        <v>2312</v>
      </c>
      <c r="K53" s="8">
        <v>9730</v>
      </c>
      <c r="L53" s="7">
        <v>184832</v>
      </c>
      <c r="M53" s="7">
        <v>19719.001606864611</v>
      </c>
      <c r="N53" s="7">
        <v>22328</v>
      </c>
      <c r="O53" s="7">
        <v>12.080159279778394</v>
      </c>
      <c r="P53" s="3" t="s">
        <v>21</v>
      </c>
    </row>
    <row r="54" spans="1:16" ht="14.25" customHeight="1" thickBot="1" x14ac:dyDescent="0.4">
      <c r="A54" s="3" t="s">
        <v>122</v>
      </c>
      <c r="B54" s="3" t="s">
        <v>13</v>
      </c>
      <c r="C54" s="10" t="s">
        <v>114</v>
      </c>
      <c r="D54" s="3" t="s">
        <v>15</v>
      </c>
      <c r="E54" s="3" t="s">
        <v>62</v>
      </c>
      <c r="F54" t="s">
        <v>554</v>
      </c>
      <c r="G54" s="7">
        <v>23949</v>
      </c>
      <c r="H54" s="7">
        <v>356</v>
      </c>
      <c r="I54" s="7">
        <v>616</v>
      </c>
      <c r="J54" s="7">
        <v>1847</v>
      </c>
      <c r="K54" s="8">
        <v>3144</v>
      </c>
      <c r="L54" s="7">
        <v>192999</v>
      </c>
      <c r="M54" s="7">
        <v>24305.00319172638</v>
      </c>
      <c r="N54" s="7">
        <v>26768</v>
      </c>
      <c r="O54" s="7">
        <v>13.869501914517693</v>
      </c>
      <c r="P54" s="3" t="s">
        <v>32</v>
      </c>
    </row>
    <row r="55" spans="1:16" ht="14.25" customHeight="1" thickBot="1" x14ac:dyDescent="0.4">
      <c r="A55" s="3" t="s">
        <v>123</v>
      </c>
      <c r="B55" s="3" t="s">
        <v>19</v>
      </c>
      <c r="C55" s="10" t="s">
        <v>124</v>
      </c>
      <c r="D55" s="3" t="s">
        <v>38</v>
      </c>
      <c r="E55" s="3" t="s">
        <v>26</v>
      </c>
      <c r="F55" t="s">
        <v>549</v>
      </c>
      <c r="G55" s="7">
        <v>6544</v>
      </c>
      <c r="H55" s="7">
        <v>749</v>
      </c>
      <c r="I55" s="7">
        <v>888</v>
      </c>
      <c r="J55" s="7">
        <v>594</v>
      </c>
      <c r="K55" s="8">
        <v>18171</v>
      </c>
      <c r="L55" s="7">
        <v>126475</v>
      </c>
      <c r="M55" s="7">
        <v>7293.0070211504253</v>
      </c>
      <c r="N55" s="7">
        <v>8775</v>
      </c>
      <c r="O55" s="7">
        <v>6.9381300652302826</v>
      </c>
      <c r="P55" s="3" t="s">
        <v>27</v>
      </c>
    </row>
    <row r="56" spans="1:16" ht="14.25" customHeight="1" thickBot="1" x14ac:dyDescent="0.4">
      <c r="A56" s="3" t="s">
        <v>125</v>
      </c>
      <c r="B56" s="3" t="s">
        <v>13</v>
      </c>
      <c r="C56" s="10" t="s">
        <v>126</v>
      </c>
      <c r="D56" s="3" t="s">
        <v>38</v>
      </c>
      <c r="E56" s="3" t="s">
        <v>16</v>
      </c>
      <c r="F56" t="s">
        <v>547</v>
      </c>
      <c r="G56" s="7">
        <v>6976</v>
      </c>
      <c r="H56" s="7">
        <v>1320</v>
      </c>
      <c r="I56" s="7">
        <v>393</v>
      </c>
      <c r="J56" s="7">
        <v>2285</v>
      </c>
      <c r="K56" s="8">
        <v>14049</v>
      </c>
      <c r="L56" s="7">
        <v>101367</v>
      </c>
      <c r="M56" s="7">
        <v>8296.0038770013907</v>
      </c>
      <c r="N56" s="7">
        <v>10974</v>
      </c>
      <c r="O56" s="7">
        <v>10.826008464293114</v>
      </c>
      <c r="P56" s="3" t="s">
        <v>55</v>
      </c>
    </row>
    <row r="57" spans="1:16" ht="14.25" customHeight="1" thickBot="1" x14ac:dyDescent="0.4">
      <c r="A57" s="3" t="s">
        <v>127</v>
      </c>
      <c r="B57" s="3" t="s">
        <v>19</v>
      </c>
      <c r="C57" s="10" t="s">
        <v>128</v>
      </c>
      <c r="D57" s="3" t="s">
        <v>25</v>
      </c>
      <c r="E57" s="3" t="s">
        <v>48</v>
      </c>
      <c r="F57" t="s">
        <v>553</v>
      </c>
      <c r="G57" s="7">
        <v>14775</v>
      </c>
      <c r="H57" s="7">
        <v>1220</v>
      </c>
      <c r="I57" s="7">
        <v>640</v>
      </c>
      <c r="J57" s="7">
        <v>1547</v>
      </c>
      <c r="K57" s="8">
        <v>28527</v>
      </c>
      <c r="L57" s="7">
        <v>183660</v>
      </c>
      <c r="M57" s="7">
        <v>15995.00348469999</v>
      </c>
      <c r="N57" s="7">
        <v>18182</v>
      </c>
      <c r="O57" s="7">
        <v>9.8998148753130781</v>
      </c>
      <c r="P57" s="3" t="s">
        <v>55</v>
      </c>
    </row>
    <row r="58" spans="1:16" ht="14.25" customHeight="1" thickBot="1" x14ac:dyDescent="0.4">
      <c r="A58" s="3" t="s">
        <v>129</v>
      </c>
      <c r="B58" s="3" t="s">
        <v>19</v>
      </c>
      <c r="C58" s="10" t="s">
        <v>130</v>
      </c>
      <c r="D58" s="3" t="s">
        <v>30</v>
      </c>
      <c r="E58" s="3" t="s">
        <v>62</v>
      </c>
      <c r="F58" t="s">
        <v>554</v>
      </c>
      <c r="G58" s="7">
        <v>12015</v>
      </c>
      <c r="H58" s="7">
        <v>1196</v>
      </c>
      <c r="I58" s="7">
        <v>998</v>
      </c>
      <c r="J58" s="7">
        <v>1848</v>
      </c>
      <c r="K58" s="8">
        <v>44739</v>
      </c>
      <c r="L58" s="7">
        <v>161750</v>
      </c>
      <c r="M58" s="7">
        <v>13211.006170015457</v>
      </c>
      <c r="N58" s="7">
        <v>16057</v>
      </c>
      <c r="O58" s="7">
        <v>9.9270479134466765</v>
      </c>
      <c r="P58" s="3" t="s">
        <v>55</v>
      </c>
    </row>
    <row r="59" spans="1:16" ht="14.25" customHeight="1" thickBot="1" x14ac:dyDescent="0.4">
      <c r="A59" s="3" t="s">
        <v>131</v>
      </c>
      <c r="B59" s="3" t="s">
        <v>23</v>
      </c>
      <c r="C59" s="10" t="s">
        <v>132</v>
      </c>
      <c r="D59" s="3" t="s">
        <v>38</v>
      </c>
      <c r="E59" s="3" t="s">
        <v>26</v>
      </c>
      <c r="F59" t="s">
        <v>549</v>
      </c>
      <c r="G59" s="7">
        <v>5419</v>
      </c>
      <c r="H59" s="7">
        <v>1150</v>
      </c>
      <c r="I59" s="7">
        <v>656</v>
      </c>
      <c r="J59" s="7">
        <v>1990</v>
      </c>
      <c r="K59" s="8">
        <v>410</v>
      </c>
      <c r="L59" s="7">
        <v>158154</v>
      </c>
      <c r="M59" s="7">
        <v>6569.0041478558869</v>
      </c>
      <c r="N59" s="7">
        <v>9215</v>
      </c>
      <c r="O59" s="7">
        <v>5.8265993904675195</v>
      </c>
      <c r="P59" s="3" t="s">
        <v>27</v>
      </c>
    </row>
    <row r="60" spans="1:16" ht="14.25" customHeight="1" thickBot="1" x14ac:dyDescent="0.4">
      <c r="A60" s="3" t="s">
        <v>133</v>
      </c>
      <c r="B60" s="3" t="s">
        <v>13</v>
      </c>
      <c r="C60" s="10" t="s">
        <v>134</v>
      </c>
      <c r="D60" s="3" t="s">
        <v>15</v>
      </c>
      <c r="E60" s="3" t="s">
        <v>42</v>
      </c>
      <c r="F60" t="s">
        <v>552</v>
      </c>
      <c r="G60" s="7">
        <v>16430</v>
      </c>
      <c r="H60" s="7">
        <v>488</v>
      </c>
      <c r="I60" s="7">
        <v>514</v>
      </c>
      <c r="J60" s="7">
        <v>1436</v>
      </c>
      <c r="K60" s="8">
        <v>30059</v>
      </c>
      <c r="L60" s="7">
        <v>223305</v>
      </c>
      <c r="M60" s="7">
        <v>16918.002301784556</v>
      </c>
      <c r="N60" s="7">
        <v>18868</v>
      </c>
      <c r="O60" s="7">
        <v>8.4494301515863963</v>
      </c>
      <c r="P60" s="3" t="s">
        <v>32</v>
      </c>
    </row>
    <row r="61" spans="1:16" ht="14.25" customHeight="1" thickBot="1" x14ac:dyDescent="0.4">
      <c r="A61" s="3" t="s">
        <v>135</v>
      </c>
      <c r="B61" s="3" t="s">
        <v>23</v>
      </c>
      <c r="C61" s="10" t="s">
        <v>136</v>
      </c>
      <c r="D61" s="3" t="s">
        <v>25</v>
      </c>
      <c r="E61" s="3" t="s">
        <v>42</v>
      </c>
      <c r="F61" t="s">
        <v>552</v>
      </c>
      <c r="G61" s="7">
        <v>9239</v>
      </c>
      <c r="H61" s="7">
        <v>1477</v>
      </c>
      <c r="I61" s="7">
        <v>631</v>
      </c>
      <c r="J61" s="7">
        <v>1556</v>
      </c>
      <c r="K61" s="8">
        <v>11580</v>
      </c>
      <c r="L61" s="7">
        <v>84738</v>
      </c>
      <c r="M61" s="7">
        <v>10716.007446482097</v>
      </c>
      <c r="N61" s="7">
        <v>12903</v>
      </c>
      <c r="O61" s="7">
        <v>15.22693478722651</v>
      </c>
      <c r="P61" s="3" t="s">
        <v>27</v>
      </c>
    </row>
    <row r="62" spans="1:16" ht="14.25" customHeight="1" thickBot="1" x14ac:dyDescent="0.4">
      <c r="A62" s="3" t="s">
        <v>137</v>
      </c>
      <c r="B62" s="3" t="s">
        <v>13</v>
      </c>
      <c r="C62" s="10" t="s">
        <v>138</v>
      </c>
      <c r="D62" s="3" t="s">
        <v>38</v>
      </c>
      <c r="E62" s="3" t="s">
        <v>85</v>
      </c>
      <c r="F62" t="s">
        <v>546</v>
      </c>
      <c r="G62" s="7">
        <v>16489</v>
      </c>
      <c r="H62" s="7">
        <v>395</v>
      </c>
      <c r="I62" s="7">
        <v>350</v>
      </c>
      <c r="J62" s="7">
        <v>2364</v>
      </c>
      <c r="K62" s="8">
        <v>43239</v>
      </c>
      <c r="L62" s="7">
        <v>73397</v>
      </c>
      <c r="M62" s="7">
        <v>16884.004768587271</v>
      </c>
      <c r="N62" s="7">
        <v>19598</v>
      </c>
      <c r="O62" s="7">
        <v>26.701363815959777</v>
      </c>
      <c r="P62" s="3" t="s">
        <v>55</v>
      </c>
    </row>
    <row r="63" spans="1:16" ht="14.25" customHeight="1" thickBot="1" x14ac:dyDescent="0.4">
      <c r="A63" s="3" t="s">
        <v>139</v>
      </c>
      <c r="B63" s="3" t="s">
        <v>13</v>
      </c>
      <c r="C63" s="10">
        <v>45920</v>
      </c>
      <c r="D63" s="3" t="s">
        <v>15</v>
      </c>
      <c r="E63" s="3" t="s">
        <v>62</v>
      </c>
      <c r="F63" t="s">
        <v>554</v>
      </c>
      <c r="G63" s="7">
        <v>18633</v>
      </c>
      <c r="H63" s="7">
        <v>797</v>
      </c>
      <c r="I63" s="7">
        <v>303</v>
      </c>
      <c r="J63" s="7">
        <v>659</v>
      </c>
      <c r="K63" s="8">
        <v>7</v>
      </c>
      <c r="L63" s="7">
        <v>122189</v>
      </c>
      <c r="M63" s="7">
        <v>19430.002479764953</v>
      </c>
      <c r="N63" s="7">
        <v>20392</v>
      </c>
      <c r="O63" s="7">
        <v>16.68889998281351</v>
      </c>
      <c r="P63" s="3" t="s">
        <v>21</v>
      </c>
    </row>
    <row r="64" spans="1:16" ht="14.25" customHeight="1" thickBot="1" x14ac:dyDescent="0.4">
      <c r="A64" s="3" t="s">
        <v>140</v>
      </c>
      <c r="B64" s="3" t="s">
        <v>23</v>
      </c>
      <c r="C64" s="10" t="s">
        <v>91</v>
      </c>
      <c r="D64" s="3" t="s">
        <v>15</v>
      </c>
      <c r="E64" s="3" t="s">
        <v>16</v>
      </c>
      <c r="F64" t="s">
        <v>547</v>
      </c>
      <c r="G64" s="7">
        <v>12357</v>
      </c>
      <c r="H64" s="7">
        <v>716</v>
      </c>
      <c r="I64" s="7">
        <v>599</v>
      </c>
      <c r="J64" s="7">
        <v>999</v>
      </c>
      <c r="K64" s="8">
        <v>89591</v>
      </c>
      <c r="L64" s="7">
        <v>116367</v>
      </c>
      <c r="M64" s="7">
        <v>13073.005147507454</v>
      </c>
      <c r="N64" s="7">
        <v>14671</v>
      </c>
      <c r="O64" s="7">
        <v>12.607526188696108</v>
      </c>
      <c r="P64" s="3" t="s">
        <v>17</v>
      </c>
    </row>
    <row r="65" spans="1:16" ht="14.25" customHeight="1" thickBot="1" x14ac:dyDescent="0.4">
      <c r="A65" s="3" t="s">
        <v>141</v>
      </c>
      <c r="B65" s="3" t="s">
        <v>23</v>
      </c>
      <c r="C65" s="10" t="s">
        <v>142</v>
      </c>
      <c r="D65" s="3" t="s">
        <v>30</v>
      </c>
      <c r="E65" s="3" t="s">
        <v>35</v>
      </c>
      <c r="F65" t="s">
        <v>545</v>
      </c>
      <c r="G65" s="7">
        <v>19154</v>
      </c>
      <c r="H65" s="7">
        <v>1064</v>
      </c>
      <c r="I65" s="7">
        <v>650</v>
      </c>
      <c r="J65" s="7">
        <v>747</v>
      </c>
      <c r="K65" s="8">
        <v>42667</v>
      </c>
      <c r="L65" s="7">
        <v>242332</v>
      </c>
      <c r="M65" s="7">
        <v>20218.002682270602</v>
      </c>
      <c r="N65" s="7">
        <v>21615</v>
      </c>
      <c r="O65" s="7">
        <v>8.9195814007229757</v>
      </c>
      <c r="P65" s="3" t="s">
        <v>27</v>
      </c>
    </row>
    <row r="66" spans="1:16" ht="14.25" customHeight="1" thickBot="1" x14ac:dyDescent="0.4">
      <c r="A66" s="3" t="s">
        <v>143</v>
      </c>
      <c r="B66" s="3" t="s">
        <v>13</v>
      </c>
      <c r="C66" s="10" t="s">
        <v>144</v>
      </c>
      <c r="D66" s="3" t="s">
        <v>25</v>
      </c>
      <c r="E66" s="3" t="s">
        <v>16</v>
      </c>
      <c r="F66" t="s">
        <v>547</v>
      </c>
      <c r="G66" s="7">
        <v>6363</v>
      </c>
      <c r="H66" s="7">
        <v>1341</v>
      </c>
      <c r="I66" s="7">
        <v>222</v>
      </c>
      <c r="J66" s="7">
        <v>2712</v>
      </c>
      <c r="K66" s="8">
        <v>19987</v>
      </c>
      <c r="L66" s="7">
        <v>160585</v>
      </c>
      <c r="M66" s="7">
        <v>7704.0013824454336</v>
      </c>
      <c r="N66" s="7">
        <v>10638</v>
      </c>
      <c r="O66" s="7">
        <v>6.6245290656038858</v>
      </c>
      <c r="P66" s="3" t="s">
        <v>27</v>
      </c>
    </row>
    <row r="67" spans="1:16" ht="14.25" customHeight="1" thickBot="1" x14ac:dyDescent="0.4">
      <c r="A67" s="3" t="s">
        <v>145</v>
      </c>
      <c r="B67" s="3" t="s">
        <v>46</v>
      </c>
      <c r="C67" s="10" t="s">
        <v>146</v>
      </c>
      <c r="D67" s="3" t="s">
        <v>25</v>
      </c>
      <c r="E67" s="3" t="s">
        <v>42</v>
      </c>
      <c r="F67" t="s">
        <v>552</v>
      </c>
      <c r="G67" s="7">
        <v>12176</v>
      </c>
      <c r="H67" s="7">
        <v>1005</v>
      </c>
      <c r="I67" s="7">
        <v>862</v>
      </c>
      <c r="J67" s="7">
        <v>974</v>
      </c>
      <c r="K67" s="8">
        <v>2285</v>
      </c>
      <c r="L67" s="7">
        <v>116619</v>
      </c>
      <c r="M67" s="7">
        <v>13181.007391591422</v>
      </c>
      <c r="N67" s="7">
        <v>15017</v>
      </c>
      <c r="O67" s="7">
        <v>12.876975449969558</v>
      </c>
      <c r="P67" s="3" t="s">
        <v>32</v>
      </c>
    </row>
    <row r="68" spans="1:16" ht="14.25" customHeight="1" thickBot="1" x14ac:dyDescent="0.4">
      <c r="A68" s="3" t="s">
        <v>147</v>
      </c>
      <c r="B68" s="3" t="s">
        <v>19</v>
      </c>
      <c r="C68" s="10" t="s">
        <v>148</v>
      </c>
      <c r="D68" s="3" t="s">
        <v>30</v>
      </c>
      <c r="E68" s="3" t="s">
        <v>42</v>
      </c>
      <c r="F68" t="s">
        <v>552</v>
      </c>
      <c r="G68" s="7">
        <v>19461</v>
      </c>
      <c r="H68" s="7">
        <v>1382</v>
      </c>
      <c r="I68" s="7">
        <v>445</v>
      </c>
      <c r="J68" s="7">
        <v>1307</v>
      </c>
      <c r="K68" s="8">
        <v>84691</v>
      </c>
      <c r="L68" s="7">
        <v>151453</v>
      </c>
      <c r="M68" s="7">
        <v>20843.002938205253</v>
      </c>
      <c r="N68" s="7">
        <v>22595</v>
      </c>
      <c r="O68" s="7">
        <v>14.918819699840874</v>
      </c>
      <c r="P68" s="3" t="s">
        <v>32</v>
      </c>
    </row>
    <row r="69" spans="1:16" ht="14.25" customHeight="1" thickBot="1" x14ac:dyDescent="0.4">
      <c r="A69" s="3" t="s">
        <v>149</v>
      </c>
      <c r="B69" s="3" t="s">
        <v>23</v>
      </c>
      <c r="C69" s="10" t="s">
        <v>150</v>
      </c>
      <c r="D69" s="3" t="s">
        <v>30</v>
      </c>
      <c r="E69" s="3" t="s">
        <v>20</v>
      </c>
      <c r="F69" t="s">
        <v>548</v>
      </c>
      <c r="G69" s="7">
        <v>10427</v>
      </c>
      <c r="H69" s="7">
        <v>1014</v>
      </c>
      <c r="I69" s="7">
        <v>166</v>
      </c>
      <c r="J69" s="7">
        <v>1649</v>
      </c>
      <c r="K69" s="8">
        <v>15145</v>
      </c>
      <c r="L69" s="7">
        <v>59816</v>
      </c>
      <c r="M69" s="7">
        <v>11441.00277517721</v>
      </c>
      <c r="N69" s="7">
        <v>13256</v>
      </c>
      <c r="O69" s="7">
        <v>22.161294636886453</v>
      </c>
      <c r="P69" s="3" t="s">
        <v>27</v>
      </c>
    </row>
    <row r="70" spans="1:16" ht="14.25" customHeight="1" thickBot="1" x14ac:dyDescent="0.4">
      <c r="A70" s="3" t="s">
        <v>151</v>
      </c>
      <c r="B70" s="3" t="s">
        <v>19</v>
      </c>
      <c r="C70" s="10" t="s">
        <v>152</v>
      </c>
      <c r="D70" s="3" t="s">
        <v>25</v>
      </c>
      <c r="E70" s="3" t="s">
        <v>42</v>
      </c>
      <c r="F70" t="s">
        <v>552</v>
      </c>
      <c r="G70" s="7">
        <v>10580</v>
      </c>
      <c r="H70" s="7">
        <v>427</v>
      </c>
      <c r="I70" s="7">
        <v>790</v>
      </c>
      <c r="J70" s="7">
        <v>2814</v>
      </c>
      <c r="K70" s="8">
        <v>24916</v>
      </c>
      <c r="L70" s="7">
        <v>213312</v>
      </c>
      <c r="M70" s="7">
        <v>11007.003703495349</v>
      </c>
      <c r="N70" s="7">
        <v>14611</v>
      </c>
      <c r="O70" s="7">
        <v>6.8495912091209119</v>
      </c>
      <c r="P70" s="3" t="s">
        <v>55</v>
      </c>
    </row>
    <row r="71" spans="1:16" ht="14.25" customHeight="1" thickBot="1" x14ac:dyDescent="0.4">
      <c r="A71" s="3" t="s">
        <v>153</v>
      </c>
      <c r="B71" s="3" t="s">
        <v>46</v>
      </c>
      <c r="C71" s="10" t="s">
        <v>154</v>
      </c>
      <c r="D71" s="3" t="s">
        <v>25</v>
      </c>
      <c r="E71" s="3" t="s">
        <v>48</v>
      </c>
      <c r="F71" t="s">
        <v>553</v>
      </c>
      <c r="G71" s="7">
        <v>6858</v>
      </c>
      <c r="H71" s="7">
        <v>415</v>
      </c>
      <c r="I71" s="7">
        <v>366</v>
      </c>
      <c r="J71" s="7">
        <v>2761</v>
      </c>
      <c r="K71" s="8">
        <v>2988</v>
      </c>
      <c r="L71" s="7">
        <v>177348</v>
      </c>
      <c r="M71" s="7">
        <v>7273.002063739089</v>
      </c>
      <c r="N71" s="7">
        <v>10400</v>
      </c>
      <c r="O71" s="7">
        <v>5.8641766470442294</v>
      </c>
      <c r="P71" s="3" t="s">
        <v>17</v>
      </c>
    </row>
    <row r="72" spans="1:16" ht="14.25" customHeight="1" thickBot="1" x14ac:dyDescent="0.4">
      <c r="A72" s="3" t="s">
        <v>155</v>
      </c>
      <c r="B72" s="3" t="s">
        <v>46</v>
      </c>
      <c r="C72" s="10" t="s">
        <v>156</v>
      </c>
      <c r="D72" s="3" t="s">
        <v>38</v>
      </c>
      <c r="E72" s="3" t="s">
        <v>31</v>
      </c>
      <c r="F72" t="s">
        <v>550</v>
      </c>
      <c r="G72" s="7">
        <v>12040</v>
      </c>
      <c r="H72" s="7">
        <v>1147</v>
      </c>
      <c r="I72" s="7">
        <v>210</v>
      </c>
      <c r="J72" s="7">
        <v>885</v>
      </c>
      <c r="K72" s="8">
        <v>30360</v>
      </c>
      <c r="L72" s="7">
        <v>119530</v>
      </c>
      <c r="M72" s="7">
        <v>13187.001756881118</v>
      </c>
      <c r="N72" s="7">
        <v>14282</v>
      </c>
      <c r="O72" s="7">
        <v>11.948464820547143</v>
      </c>
      <c r="P72" s="3" t="s">
        <v>32</v>
      </c>
    </row>
    <row r="73" spans="1:16" ht="14.25" customHeight="1" thickBot="1" x14ac:dyDescent="0.4">
      <c r="A73" s="3" t="s">
        <v>157</v>
      </c>
      <c r="B73" s="3" t="s">
        <v>46</v>
      </c>
      <c r="C73" s="10" t="s">
        <v>158</v>
      </c>
      <c r="D73" s="3" t="s">
        <v>38</v>
      </c>
      <c r="E73" s="3" t="s">
        <v>62</v>
      </c>
      <c r="F73" t="s">
        <v>554</v>
      </c>
      <c r="G73" s="7">
        <v>24928</v>
      </c>
      <c r="H73" s="7">
        <v>214</v>
      </c>
      <c r="I73" s="7">
        <v>765</v>
      </c>
      <c r="J73" s="7">
        <v>1556</v>
      </c>
      <c r="K73" s="8">
        <v>5239</v>
      </c>
      <c r="L73" s="7">
        <v>194571</v>
      </c>
      <c r="M73" s="7">
        <v>25142.003931726722</v>
      </c>
      <c r="N73" s="7">
        <v>27463</v>
      </c>
      <c r="O73" s="7">
        <v>14.114641955892706</v>
      </c>
      <c r="P73" s="3" t="s">
        <v>55</v>
      </c>
    </row>
    <row r="74" spans="1:16" ht="14.25" customHeight="1" thickBot="1" x14ac:dyDescent="0.4">
      <c r="A74" s="3" t="s">
        <v>159</v>
      </c>
      <c r="B74" s="3" t="s">
        <v>23</v>
      </c>
      <c r="C74" s="10">
        <v>45921</v>
      </c>
      <c r="D74" s="3" t="s">
        <v>30</v>
      </c>
      <c r="E74" s="3" t="s">
        <v>16</v>
      </c>
      <c r="F74" t="s">
        <v>547</v>
      </c>
      <c r="G74" s="7">
        <v>23103</v>
      </c>
      <c r="H74" s="7">
        <v>1380</v>
      </c>
      <c r="I74" s="7">
        <v>191</v>
      </c>
      <c r="J74" s="7">
        <v>1547</v>
      </c>
      <c r="K74" s="8">
        <v>77798</v>
      </c>
      <c r="L74" s="7">
        <v>148856</v>
      </c>
      <c r="M74" s="7">
        <v>24483.001283119258</v>
      </c>
      <c r="N74" s="7">
        <v>26221</v>
      </c>
      <c r="O74" s="7">
        <v>17.615010479926909</v>
      </c>
      <c r="P74" s="3" t="s">
        <v>21</v>
      </c>
    </row>
    <row r="75" spans="1:16" ht="14.25" customHeight="1" thickBot="1" x14ac:dyDescent="0.4">
      <c r="A75" s="3" t="s">
        <v>160</v>
      </c>
      <c r="B75" s="3" t="s">
        <v>46</v>
      </c>
      <c r="C75" s="10" t="s">
        <v>161</v>
      </c>
      <c r="D75" s="3" t="s">
        <v>38</v>
      </c>
      <c r="E75" s="3" t="s">
        <v>31</v>
      </c>
      <c r="F75" t="s">
        <v>550</v>
      </c>
      <c r="G75" s="7">
        <v>21198</v>
      </c>
      <c r="H75" s="7">
        <v>1484</v>
      </c>
      <c r="I75" s="7">
        <v>174</v>
      </c>
      <c r="J75" s="7">
        <v>1293</v>
      </c>
      <c r="K75" s="8">
        <v>16330</v>
      </c>
      <c r="L75" s="7">
        <v>111635</v>
      </c>
      <c r="M75" s="7">
        <v>22682.001558650962</v>
      </c>
      <c r="N75" s="7">
        <v>24149</v>
      </c>
      <c r="O75" s="7">
        <v>21.63210462668518</v>
      </c>
      <c r="P75" s="3" t="s">
        <v>32</v>
      </c>
    </row>
    <row r="76" spans="1:16" ht="14.25" customHeight="1" thickBot="1" x14ac:dyDescent="0.4">
      <c r="A76" s="3" t="s">
        <v>162</v>
      </c>
      <c r="B76" s="3" t="s">
        <v>23</v>
      </c>
      <c r="C76" s="10" t="s">
        <v>163</v>
      </c>
      <c r="D76" s="3" t="s">
        <v>15</v>
      </c>
      <c r="E76" s="3" t="s">
        <v>26</v>
      </c>
      <c r="F76" t="s">
        <v>549</v>
      </c>
      <c r="G76" s="7">
        <v>21758</v>
      </c>
      <c r="H76" s="7">
        <v>1380</v>
      </c>
      <c r="I76" s="7">
        <v>188</v>
      </c>
      <c r="J76" s="7">
        <v>1735</v>
      </c>
      <c r="K76" s="8">
        <v>20998</v>
      </c>
      <c r="L76" s="7">
        <v>147803</v>
      </c>
      <c r="M76" s="7">
        <v>23138.001271963356</v>
      </c>
      <c r="N76" s="7">
        <v>25061</v>
      </c>
      <c r="O76" s="7">
        <v>16.955677489631469</v>
      </c>
      <c r="P76" s="3" t="s">
        <v>55</v>
      </c>
    </row>
    <row r="77" spans="1:16" ht="14.25" customHeight="1" thickBot="1" x14ac:dyDescent="0.4">
      <c r="A77" s="3" t="s">
        <v>164</v>
      </c>
      <c r="B77" s="3" t="s">
        <v>46</v>
      </c>
      <c r="C77" s="10" t="s">
        <v>165</v>
      </c>
      <c r="D77" s="3" t="s">
        <v>38</v>
      </c>
      <c r="E77" s="3" t="s">
        <v>35</v>
      </c>
      <c r="F77" t="s">
        <v>545</v>
      </c>
      <c r="G77" s="7">
        <v>17254</v>
      </c>
      <c r="H77" s="7">
        <v>246</v>
      </c>
      <c r="I77" s="7">
        <v>952</v>
      </c>
      <c r="J77" s="7">
        <v>871</v>
      </c>
      <c r="K77" s="8">
        <v>14957</v>
      </c>
      <c r="L77" s="7">
        <v>75946</v>
      </c>
      <c r="M77" s="7">
        <v>17500.012535222395</v>
      </c>
      <c r="N77" s="7">
        <v>19323</v>
      </c>
      <c r="O77" s="7">
        <v>25.443077976456959</v>
      </c>
      <c r="P77" s="3" t="s">
        <v>55</v>
      </c>
    </row>
    <row r="78" spans="1:16" ht="14.25" customHeight="1" thickBot="1" x14ac:dyDescent="0.4">
      <c r="A78" s="3" t="s">
        <v>166</v>
      </c>
      <c r="B78" s="3" t="s">
        <v>19</v>
      </c>
      <c r="C78" s="10" t="s">
        <v>83</v>
      </c>
      <c r="D78" s="3" t="s">
        <v>38</v>
      </c>
      <c r="E78" s="3" t="s">
        <v>48</v>
      </c>
      <c r="F78" t="s">
        <v>553</v>
      </c>
      <c r="G78" s="7">
        <v>13470</v>
      </c>
      <c r="H78" s="7">
        <v>523</v>
      </c>
      <c r="I78" s="7">
        <v>280</v>
      </c>
      <c r="J78" s="7">
        <v>2682</v>
      </c>
      <c r="K78" s="8">
        <v>8538</v>
      </c>
      <c r="L78" s="7">
        <v>95204</v>
      </c>
      <c r="M78" s="7">
        <v>13993.002941052897</v>
      </c>
      <c r="N78" s="7">
        <v>16955</v>
      </c>
      <c r="O78" s="7">
        <v>17.809125666988781</v>
      </c>
      <c r="P78" s="3" t="s">
        <v>17</v>
      </c>
    </row>
    <row r="79" spans="1:16" ht="14.25" customHeight="1" thickBot="1" x14ac:dyDescent="0.4">
      <c r="A79" s="3" t="s">
        <v>167</v>
      </c>
      <c r="B79" s="3" t="s">
        <v>19</v>
      </c>
      <c r="C79" s="10" t="s">
        <v>126</v>
      </c>
      <c r="D79" s="3" t="s">
        <v>15</v>
      </c>
      <c r="E79" s="3" t="s">
        <v>39</v>
      </c>
      <c r="F79" t="s">
        <v>551</v>
      </c>
      <c r="G79" s="7">
        <v>3252</v>
      </c>
      <c r="H79" s="7">
        <v>1043</v>
      </c>
      <c r="I79" s="7">
        <v>647</v>
      </c>
      <c r="J79" s="7">
        <v>1545</v>
      </c>
      <c r="K79" s="8">
        <v>18859</v>
      </c>
      <c r="L79" s="7">
        <v>222958</v>
      </c>
      <c r="M79" s="7">
        <v>4295.0029018918358</v>
      </c>
      <c r="N79" s="7">
        <v>6487</v>
      </c>
      <c r="O79" s="7">
        <v>2.9095165905686273</v>
      </c>
      <c r="P79" s="3" t="s">
        <v>17</v>
      </c>
    </row>
    <row r="80" spans="1:16" ht="14.25" customHeight="1" thickBot="1" x14ac:dyDescent="0.4">
      <c r="A80" s="3" t="s">
        <v>168</v>
      </c>
      <c r="B80" s="3" t="s">
        <v>13</v>
      </c>
      <c r="C80" s="10">
        <v>45922</v>
      </c>
      <c r="D80" s="3" t="s">
        <v>30</v>
      </c>
      <c r="E80" s="3" t="s">
        <v>169</v>
      </c>
      <c r="F80" t="s">
        <v>556</v>
      </c>
      <c r="G80" s="7">
        <v>8996</v>
      </c>
      <c r="H80" s="7">
        <v>329</v>
      </c>
      <c r="I80" s="7">
        <v>378</v>
      </c>
      <c r="J80" s="7">
        <v>2384</v>
      </c>
      <c r="K80" s="8">
        <v>39404</v>
      </c>
      <c r="L80" s="7">
        <v>242724</v>
      </c>
      <c r="M80" s="7">
        <v>9325.0015573243691</v>
      </c>
      <c r="N80" s="7">
        <v>12087</v>
      </c>
      <c r="O80" s="7">
        <v>4.9797300637761408</v>
      </c>
      <c r="P80" s="3" t="s">
        <v>21</v>
      </c>
    </row>
    <row r="81" spans="1:16" ht="14.25" customHeight="1" thickBot="1" x14ac:dyDescent="0.4">
      <c r="A81" s="3" t="s">
        <v>170</v>
      </c>
      <c r="B81" s="3" t="s">
        <v>19</v>
      </c>
      <c r="C81" s="10" t="s">
        <v>120</v>
      </c>
      <c r="D81" s="3" t="s">
        <v>15</v>
      </c>
      <c r="E81" s="3" t="s">
        <v>16</v>
      </c>
      <c r="F81" t="s">
        <v>547</v>
      </c>
      <c r="G81" s="7">
        <v>14173</v>
      </c>
      <c r="H81" s="7">
        <v>294</v>
      </c>
      <c r="I81" s="7">
        <v>257</v>
      </c>
      <c r="J81" s="7">
        <v>1288</v>
      </c>
      <c r="K81" s="8">
        <v>39466</v>
      </c>
      <c r="L81" s="7">
        <v>55563</v>
      </c>
      <c r="M81" s="7">
        <v>14467.004625380199</v>
      </c>
      <c r="N81" s="7">
        <v>16012</v>
      </c>
      <c r="O81" s="7">
        <v>28.81773842305131</v>
      </c>
      <c r="P81" s="3" t="s">
        <v>55</v>
      </c>
    </row>
    <row r="82" spans="1:16" ht="14.25" customHeight="1" thickBot="1" x14ac:dyDescent="0.4">
      <c r="A82" s="3" t="s">
        <v>171</v>
      </c>
      <c r="B82" s="3" t="s">
        <v>13</v>
      </c>
      <c r="C82" s="10" t="s">
        <v>172</v>
      </c>
      <c r="D82" s="3" t="s">
        <v>38</v>
      </c>
      <c r="E82" s="3" t="s">
        <v>31</v>
      </c>
      <c r="F82" t="s">
        <v>550</v>
      </c>
      <c r="G82" s="7">
        <v>6673</v>
      </c>
      <c r="H82" s="7">
        <v>826</v>
      </c>
      <c r="I82" s="7">
        <v>321</v>
      </c>
      <c r="J82" s="7">
        <v>577</v>
      </c>
      <c r="K82" s="8">
        <v>19262</v>
      </c>
      <c r="L82" s="7">
        <v>132324</v>
      </c>
      <c r="M82" s="7">
        <v>7499.0024258637886</v>
      </c>
      <c r="N82" s="7">
        <v>8397</v>
      </c>
      <c r="O82" s="7">
        <v>6.3457876122245391</v>
      </c>
      <c r="P82" s="3" t="s">
        <v>55</v>
      </c>
    </row>
    <row r="83" spans="1:16" ht="14.25" customHeight="1" thickBot="1" x14ac:dyDescent="0.4">
      <c r="A83" s="3" t="s">
        <v>173</v>
      </c>
      <c r="B83" s="3" t="s">
        <v>19</v>
      </c>
      <c r="C83" s="10" t="s">
        <v>174</v>
      </c>
      <c r="D83" s="3" t="s">
        <v>30</v>
      </c>
      <c r="E83" s="3" t="s">
        <v>39</v>
      </c>
      <c r="F83" t="s">
        <v>551</v>
      </c>
      <c r="G83" s="7">
        <v>22914</v>
      </c>
      <c r="H83" s="7">
        <v>954</v>
      </c>
      <c r="I83" s="7">
        <v>584</v>
      </c>
      <c r="J83" s="7">
        <v>1519</v>
      </c>
      <c r="K83" s="8">
        <v>13637</v>
      </c>
      <c r="L83" s="7">
        <v>49847</v>
      </c>
      <c r="M83" s="7">
        <v>23868.011715850502</v>
      </c>
      <c r="N83" s="7">
        <v>25971</v>
      </c>
      <c r="O83" s="7">
        <v>52.101430376953473</v>
      </c>
      <c r="P83" s="3" t="s">
        <v>17</v>
      </c>
    </row>
    <row r="84" spans="1:16" ht="14.25" customHeight="1" thickBot="1" x14ac:dyDescent="0.4">
      <c r="A84" s="3" t="s">
        <v>175</v>
      </c>
      <c r="B84" s="3" t="s">
        <v>23</v>
      </c>
      <c r="C84" s="10" t="s">
        <v>176</v>
      </c>
      <c r="D84" s="3" t="s">
        <v>38</v>
      </c>
      <c r="E84" s="3" t="s">
        <v>35</v>
      </c>
      <c r="F84" t="s">
        <v>545</v>
      </c>
      <c r="G84" s="7">
        <v>17781</v>
      </c>
      <c r="H84" s="7">
        <v>993</v>
      </c>
      <c r="I84" s="7">
        <v>627</v>
      </c>
      <c r="J84" s="7">
        <v>2187</v>
      </c>
      <c r="K84" s="8">
        <v>9609</v>
      </c>
      <c r="L84" s="7">
        <v>66155</v>
      </c>
      <c r="M84" s="7">
        <v>18774.009477741667</v>
      </c>
      <c r="N84" s="7">
        <v>21588</v>
      </c>
      <c r="O84" s="7">
        <v>32.63245408510317</v>
      </c>
      <c r="P84" s="3" t="s">
        <v>32</v>
      </c>
    </row>
    <row r="85" spans="1:16" ht="14.25" customHeight="1" thickBot="1" x14ac:dyDescent="0.4">
      <c r="A85" s="3" t="s">
        <v>177</v>
      </c>
      <c r="B85" s="3" t="s">
        <v>19</v>
      </c>
      <c r="C85" s="10" t="s">
        <v>178</v>
      </c>
      <c r="D85" s="3" t="s">
        <v>15</v>
      </c>
      <c r="E85" s="3" t="s">
        <v>20</v>
      </c>
      <c r="F85" t="s">
        <v>548</v>
      </c>
      <c r="G85" s="7">
        <v>15051</v>
      </c>
      <c r="H85" s="7">
        <v>268</v>
      </c>
      <c r="I85" s="7">
        <v>251</v>
      </c>
      <c r="J85" s="7">
        <v>783</v>
      </c>
      <c r="K85" s="8">
        <v>34154</v>
      </c>
      <c r="L85" s="7">
        <v>119671</v>
      </c>
      <c r="M85" s="7">
        <v>15319.002097417086</v>
      </c>
      <c r="N85" s="7">
        <v>16353</v>
      </c>
      <c r="O85" s="7">
        <v>13.664964778434207</v>
      </c>
      <c r="P85" s="3" t="s">
        <v>32</v>
      </c>
    </row>
    <row r="86" spans="1:16" ht="14.25" customHeight="1" thickBot="1" x14ac:dyDescent="0.4">
      <c r="A86" s="3" t="s">
        <v>179</v>
      </c>
      <c r="B86" s="3" t="s">
        <v>13</v>
      </c>
      <c r="C86" s="10" t="s">
        <v>97</v>
      </c>
      <c r="D86" s="3" t="s">
        <v>15</v>
      </c>
      <c r="E86" s="3" t="s">
        <v>39</v>
      </c>
      <c r="F86" t="s">
        <v>551</v>
      </c>
      <c r="G86" s="7">
        <v>8881</v>
      </c>
      <c r="H86" s="7">
        <v>210</v>
      </c>
      <c r="I86" s="7">
        <v>673</v>
      </c>
      <c r="J86" s="7">
        <v>1565</v>
      </c>
      <c r="K86" s="8">
        <v>24847</v>
      </c>
      <c r="L86" s="7">
        <v>156891</v>
      </c>
      <c r="M86" s="7">
        <v>9091.0042896023351</v>
      </c>
      <c r="N86" s="7">
        <v>11329</v>
      </c>
      <c r="O86" s="7">
        <v>7.2209368287537217</v>
      </c>
      <c r="P86" s="3" t="s">
        <v>27</v>
      </c>
    </row>
    <row r="87" spans="1:16" ht="14.25" customHeight="1" thickBot="1" x14ac:dyDescent="0.4">
      <c r="A87" s="3" t="s">
        <v>180</v>
      </c>
      <c r="B87" s="3" t="s">
        <v>13</v>
      </c>
      <c r="C87" s="10" t="s">
        <v>181</v>
      </c>
      <c r="D87" s="3" t="s">
        <v>38</v>
      </c>
      <c r="E87" s="3" t="s">
        <v>48</v>
      </c>
      <c r="F87" t="s">
        <v>553</v>
      </c>
      <c r="G87" s="7">
        <v>8949</v>
      </c>
      <c r="H87" s="7">
        <v>1477</v>
      </c>
      <c r="I87" s="7">
        <v>424</v>
      </c>
      <c r="J87" s="7">
        <v>1030</v>
      </c>
      <c r="K87" s="8">
        <v>58052</v>
      </c>
      <c r="L87" s="7">
        <v>123310</v>
      </c>
      <c r="M87" s="7">
        <v>10426.003438488362</v>
      </c>
      <c r="N87" s="7">
        <v>11880</v>
      </c>
      <c r="O87" s="7">
        <v>9.6342551293487961</v>
      </c>
      <c r="P87" s="3" t="s">
        <v>17</v>
      </c>
    </row>
    <row r="88" spans="1:16" ht="14.25" customHeight="1" thickBot="1" x14ac:dyDescent="0.4">
      <c r="A88" s="3" t="s">
        <v>182</v>
      </c>
      <c r="B88" s="3" t="s">
        <v>46</v>
      </c>
      <c r="C88" s="10" t="s">
        <v>183</v>
      </c>
      <c r="D88" s="3" t="s">
        <v>25</v>
      </c>
      <c r="E88" s="3" t="s">
        <v>48</v>
      </c>
      <c r="F88" t="s">
        <v>553</v>
      </c>
      <c r="G88" s="7">
        <v>11521</v>
      </c>
      <c r="H88" s="7">
        <v>1071</v>
      </c>
      <c r="I88" s="7">
        <v>762</v>
      </c>
      <c r="J88" s="7">
        <v>2539</v>
      </c>
      <c r="K88" s="8">
        <v>12701</v>
      </c>
      <c r="L88" s="7">
        <v>238350</v>
      </c>
      <c r="M88" s="7">
        <v>12592.003196979233</v>
      </c>
      <c r="N88" s="7">
        <v>15893</v>
      </c>
      <c r="O88" s="7">
        <v>6.6679253199076989</v>
      </c>
      <c r="P88" s="3" t="s">
        <v>27</v>
      </c>
    </row>
    <row r="89" spans="1:16" ht="14.25" customHeight="1" thickBot="1" x14ac:dyDescent="0.4">
      <c r="A89" s="3" t="s">
        <v>184</v>
      </c>
      <c r="B89" s="3" t="s">
        <v>23</v>
      </c>
      <c r="C89" s="10" t="s">
        <v>185</v>
      </c>
      <c r="D89" s="3" t="s">
        <v>25</v>
      </c>
      <c r="E89" s="3" t="s">
        <v>20</v>
      </c>
      <c r="F89" t="s">
        <v>548</v>
      </c>
      <c r="G89" s="7">
        <v>24625</v>
      </c>
      <c r="H89" s="7">
        <v>749</v>
      </c>
      <c r="I89" s="7">
        <v>193</v>
      </c>
      <c r="J89" s="7">
        <v>1340</v>
      </c>
      <c r="K89" s="8">
        <v>4890</v>
      </c>
      <c r="L89" s="7">
        <v>189381</v>
      </c>
      <c r="M89" s="7">
        <v>25374.001019109626</v>
      </c>
      <c r="N89" s="7">
        <v>26907</v>
      </c>
      <c r="O89" s="7">
        <v>14.207866681451678</v>
      </c>
      <c r="P89" s="3" t="s">
        <v>17</v>
      </c>
    </row>
    <row r="90" spans="1:16" ht="14.25" customHeight="1" thickBot="1" x14ac:dyDescent="0.4">
      <c r="A90" s="3" t="s">
        <v>186</v>
      </c>
      <c r="B90" s="3" t="s">
        <v>19</v>
      </c>
      <c r="C90" s="10">
        <v>45923</v>
      </c>
      <c r="D90" s="3" t="s">
        <v>15</v>
      </c>
      <c r="E90" s="3" t="s">
        <v>169</v>
      </c>
      <c r="F90" t="s">
        <v>556</v>
      </c>
      <c r="G90" s="7">
        <v>10017</v>
      </c>
      <c r="H90" s="7">
        <v>1357</v>
      </c>
      <c r="I90" s="7">
        <v>966</v>
      </c>
      <c r="J90" s="7">
        <v>2871</v>
      </c>
      <c r="K90" s="8">
        <v>14800</v>
      </c>
      <c r="L90" s="7">
        <v>171691</v>
      </c>
      <c r="M90" s="7">
        <v>11374.005626386939</v>
      </c>
      <c r="N90" s="7">
        <v>15211</v>
      </c>
      <c r="O90" s="7">
        <v>8.8595208834475887</v>
      </c>
      <c r="P90" s="3" t="s">
        <v>21</v>
      </c>
    </row>
    <row r="91" spans="1:16" ht="14.25" customHeight="1" thickBot="1" x14ac:dyDescent="0.4">
      <c r="A91" s="3" t="s">
        <v>187</v>
      </c>
      <c r="B91" s="3" t="s">
        <v>46</v>
      </c>
      <c r="C91" s="10" t="s">
        <v>188</v>
      </c>
      <c r="D91" s="3" t="s">
        <v>15</v>
      </c>
      <c r="E91" s="3" t="s">
        <v>62</v>
      </c>
      <c r="F91" t="s">
        <v>554</v>
      </c>
      <c r="G91" s="7">
        <v>8941</v>
      </c>
      <c r="H91" s="7">
        <v>911</v>
      </c>
      <c r="I91" s="7">
        <v>166</v>
      </c>
      <c r="J91" s="7">
        <v>1217</v>
      </c>
      <c r="K91" s="8">
        <v>68817</v>
      </c>
      <c r="L91" s="7">
        <v>221180</v>
      </c>
      <c r="M91" s="7">
        <v>9852.0007505199392</v>
      </c>
      <c r="N91" s="7">
        <v>11235</v>
      </c>
      <c r="O91" s="7">
        <v>5.079573198300027</v>
      </c>
      <c r="P91" s="3" t="s">
        <v>55</v>
      </c>
    </row>
    <row r="92" spans="1:16" ht="14.25" customHeight="1" thickBot="1" x14ac:dyDescent="0.4">
      <c r="A92" s="3" t="s">
        <v>189</v>
      </c>
      <c r="B92" s="3" t="s">
        <v>19</v>
      </c>
      <c r="C92" s="10">
        <v>45924</v>
      </c>
      <c r="D92" s="3" t="s">
        <v>25</v>
      </c>
      <c r="E92" s="3" t="s">
        <v>39</v>
      </c>
      <c r="F92" t="s">
        <v>551</v>
      </c>
      <c r="G92" s="7">
        <v>12209</v>
      </c>
      <c r="H92" s="7">
        <v>222</v>
      </c>
      <c r="I92" s="7">
        <v>479</v>
      </c>
      <c r="J92" s="7">
        <v>2748</v>
      </c>
      <c r="K92" s="8">
        <v>24615</v>
      </c>
      <c r="L92" s="7">
        <v>74707</v>
      </c>
      <c r="M92" s="7">
        <v>12431.0064117151</v>
      </c>
      <c r="N92" s="7">
        <v>15658</v>
      </c>
      <c r="O92" s="7">
        <v>20.959213996011083</v>
      </c>
      <c r="P92" s="3" t="s">
        <v>21</v>
      </c>
    </row>
    <row r="93" spans="1:16" ht="14.25" customHeight="1" thickBot="1" x14ac:dyDescent="0.4">
      <c r="A93" s="3" t="s">
        <v>190</v>
      </c>
      <c r="B93" s="3" t="s">
        <v>19</v>
      </c>
      <c r="C93" s="10" t="s">
        <v>130</v>
      </c>
      <c r="D93" s="3" t="s">
        <v>25</v>
      </c>
      <c r="E93" s="3" t="s">
        <v>20</v>
      </c>
      <c r="F93" t="s">
        <v>548</v>
      </c>
      <c r="G93" s="7">
        <v>19715</v>
      </c>
      <c r="H93" s="7">
        <v>1014</v>
      </c>
      <c r="I93" s="7">
        <v>718</v>
      </c>
      <c r="J93" s="7">
        <v>1185</v>
      </c>
      <c r="K93" s="8">
        <v>37625</v>
      </c>
      <c r="L93" s="7">
        <v>191409</v>
      </c>
      <c r="M93" s="7">
        <v>20729.003751129781</v>
      </c>
      <c r="N93" s="7">
        <v>22632</v>
      </c>
      <c r="O93" s="7">
        <v>11.823895428114666</v>
      </c>
      <c r="P93" s="3" t="s">
        <v>17</v>
      </c>
    </row>
    <row r="94" spans="1:16" ht="14.25" customHeight="1" thickBot="1" x14ac:dyDescent="0.4">
      <c r="A94" s="3" t="s">
        <v>191</v>
      </c>
      <c r="B94" s="3" t="s">
        <v>46</v>
      </c>
      <c r="C94" s="10" t="s">
        <v>192</v>
      </c>
      <c r="D94" s="3" t="s">
        <v>38</v>
      </c>
      <c r="E94" s="3" t="s">
        <v>48</v>
      </c>
      <c r="F94" t="s">
        <v>553</v>
      </c>
      <c r="G94" s="7">
        <v>22645</v>
      </c>
      <c r="H94" s="7">
        <v>545</v>
      </c>
      <c r="I94" s="7">
        <v>972</v>
      </c>
      <c r="J94" s="7">
        <v>321</v>
      </c>
      <c r="K94" s="8">
        <v>8396</v>
      </c>
      <c r="L94" s="7">
        <v>121537</v>
      </c>
      <c r="M94" s="7">
        <v>23190.007997564528</v>
      </c>
      <c r="N94" s="7">
        <v>24483</v>
      </c>
      <c r="O94" s="7">
        <v>20.14448275010902</v>
      </c>
      <c r="P94" s="3" t="s">
        <v>55</v>
      </c>
    </row>
    <row r="95" spans="1:16" ht="14.25" customHeight="1" thickBot="1" x14ac:dyDescent="0.4">
      <c r="A95" s="3" t="s">
        <v>193</v>
      </c>
      <c r="B95" s="3" t="s">
        <v>46</v>
      </c>
      <c r="C95" s="10" t="s">
        <v>165</v>
      </c>
      <c r="D95" s="3" t="s">
        <v>38</v>
      </c>
      <c r="E95" s="3" t="s">
        <v>48</v>
      </c>
      <c r="F95" t="s">
        <v>553</v>
      </c>
      <c r="G95" s="7">
        <v>11550</v>
      </c>
      <c r="H95" s="7">
        <v>501</v>
      </c>
      <c r="I95" s="7">
        <v>646</v>
      </c>
      <c r="J95" s="7">
        <v>773</v>
      </c>
      <c r="K95" s="8">
        <v>17841</v>
      </c>
      <c r="L95" s="7">
        <v>237576</v>
      </c>
      <c r="M95" s="7">
        <v>12051.002719129878</v>
      </c>
      <c r="N95" s="7">
        <v>13470</v>
      </c>
      <c r="O95" s="7">
        <v>5.6697646226891605</v>
      </c>
      <c r="P95" s="3" t="s">
        <v>32</v>
      </c>
    </row>
    <row r="96" spans="1:16" ht="14.25" customHeight="1" thickBot="1" x14ac:dyDescent="0.4">
      <c r="A96" s="3" t="s">
        <v>194</v>
      </c>
      <c r="B96" s="3" t="s">
        <v>46</v>
      </c>
      <c r="C96" s="10" t="s">
        <v>195</v>
      </c>
      <c r="D96" s="3" t="s">
        <v>25</v>
      </c>
      <c r="E96" s="3" t="s">
        <v>31</v>
      </c>
      <c r="F96" t="s">
        <v>550</v>
      </c>
      <c r="G96" s="7">
        <v>23499</v>
      </c>
      <c r="H96" s="7">
        <v>562</v>
      </c>
      <c r="I96" s="7">
        <v>964</v>
      </c>
      <c r="J96" s="7">
        <v>2557</v>
      </c>
      <c r="K96" s="8">
        <v>56890</v>
      </c>
      <c r="L96" s="7">
        <v>218686</v>
      </c>
      <c r="M96" s="7">
        <v>24061.00440814684</v>
      </c>
      <c r="N96" s="7">
        <v>27582</v>
      </c>
      <c r="O96" s="7">
        <v>12.612604373393815</v>
      </c>
      <c r="P96" s="3" t="s">
        <v>32</v>
      </c>
    </row>
    <row r="97" spans="1:16" ht="14.25" customHeight="1" thickBot="1" x14ac:dyDescent="0.4">
      <c r="A97" s="3" t="s">
        <v>196</v>
      </c>
      <c r="B97" s="3" t="s">
        <v>46</v>
      </c>
      <c r="C97" s="10" t="s">
        <v>197</v>
      </c>
      <c r="D97" s="3" t="s">
        <v>38</v>
      </c>
      <c r="E97" s="3" t="s">
        <v>42</v>
      </c>
      <c r="F97" t="s">
        <v>552</v>
      </c>
      <c r="G97" s="7">
        <v>6637</v>
      </c>
      <c r="H97" s="7">
        <v>595</v>
      </c>
      <c r="I97" s="7">
        <v>161</v>
      </c>
      <c r="J97" s="7">
        <v>2653</v>
      </c>
      <c r="K97" s="8">
        <v>19334</v>
      </c>
      <c r="L97" s="7">
        <v>131155</v>
      </c>
      <c r="M97" s="7">
        <v>7232.0012275551826</v>
      </c>
      <c r="N97" s="7">
        <v>10046</v>
      </c>
      <c r="O97" s="7">
        <v>7.6596393580115132</v>
      </c>
      <c r="P97" s="3" t="s">
        <v>27</v>
      </c>
    </row>
    <row r="98" spans="1:16" ht="14.25" customHeight="1" thickBot="1" x14ac:dyDescent="0.4">
      <c r="A98" s="3" t="s">
        <v>198</v>
      </c>
      <c r="B98" s="3" t="s">
        <v>46</v>
      </c>
      <c r="C98" s="10" t="s">
        <v>199</v>
      </c>
      <c r="D98" s="3" t="s">
        <v>38</v>
      </c>
      <c r="E98" s="3" t="s">
        <v>169</v>
      </c>
      <c r="F98" t="s">
        <v>556</v>
      </c>
      <c r="G98" s="7">
        <v>6854</v>
      </c>
      <c r="H98" s="7">
        <v>417</v>
      </c>
      <c r="I98" s="7">
        <v>467</v>
      </c>
      <c r="J98" s="7">
        <v>1003</v>
      </c>
      <c r="K98" s="8">
        <v>61333</v>
      </c>
      <c r="L98" s="7">
        <v>40281</v>
      </c>
      <c r="M98" s="7">
        <v>7271.011593555274</v>
      </c>
      <c r="N98" s="7">
        <v>8741</v>
      </c>
      <c r="O98" s="7">
        <v>21.700057098880364</v>
      </c>
      <c r="P98" s="3" t="s">
        <v>17</v>
      </c>
    </row>
    <row r="99" spans="1:16" ht="14.25" customHeight="1" thickBot="1" x14ac:dyDescent="0.4">
      <c r="A99" s="3" t="s">
        <v>200</v>
      </c>
      <c r="B99" s="3" t="s">
        <v>19</v>
      </c>
      <c r="C99" s="10" t="s">
        <v>201</v>
      </c>
      <c r="D99" s="3" t="s">
        <v>30</v>
      </c>
      <c r="E99" s="3" t="s">
        <v>39</v>
      </c>
      <c r="F99" t="s">
        <v>551</v>
      </c>
      <c r="G99" s="7">
        <v>21561</v>
      </c>
      <c r="H99" s="7">
        <v>340</v>
      </c>
      <c r="I99" s="7">
        <v>741</v>
      </c>
      <c r="J99" s="7">
        <v>986</v>
      </c>
      <c r="K99" s="8">
        <v>24826</v>
      </c>
      <c r="L99" s="7">
        <v>198492</v>
      </c>
      <c r="M99" s="7">
        <v>21901.003733147936</v>
      </c>
      <c r="N99" s="7">
        <v>23628</v>
      </c>
      <c r="O99" s="7">
        <v>11.903754307478387</v>
      </c>
      <c r="P99" s="3" t="s">
        <v>17</v>
      </c>
    </row>
    <row r="100" spans="1:16" ht="14.25" customHeight="1" thickBot="1" x14ac:dyDescent="0.4">
      <c r="A100" s="3" t="s">
        <v>202</v>
      </c>
      <c r="B100" s="3" t="s">
        <v>46</v>
      </c>
      <c r="C100" s="10" t="s">
        <v>203</v>
      </c>
      <c r="D100" s="3" t="s">
        <v>38</v>
      </c>
      <c r="E100" s="3" t="s">
        <v>39</v>
      </c>
      <c r="F100" t="s">
        <v>551</v>
      </c>
      <c r="G100" s="7">
        <v>12320</v>
      </c>
      <c r="H100" s="7">
        <v>1157</v>
      </c>
      <c r="I100" s="7">
        <v>365</v>
      </c>
      <c r="J100" s="7">
        <v>584</v>
      </c>
      <c r="K100" s="8">
        <v>66634</v>
      </c>
      <c r="L100" s="7">
        <v>210102</v>
      </c>
      <c r="M100" s="7">
        <v>13477.00173725143</v>
      </c>
      <c r="N100" s="7">
        <v>14426</v>
      </c>
      <c r="O100" s="7">
        <v>6.8661888035335208</v>
      </c>
      <c r="P100" s="3" t="s">
        <v>32</v>
      </c>
    </row>
    <row r="101" spans="1:16" ht="14.25" customHeight="1" thickBot="1" x14ac:dyDescent="0.4">
      <c r="A101" s="3" t="s">
        <v>204</v>
      </c>
      <c r="B101" s="3" t="s">
        <v>23</v>
      </c>
      <c r="C101" s="10">
        <v>45925</v>
      </c>
      <c r="D101" s="3" t="s">
        <v>15</v>
      </c>
      <c r="E101" s="3" t="s">
        <v>35</v>
      </c>
      <c r="F101" t="s">
        <v>545</v>
      </c>
      <c r="G101" s="7">
        <v>20564</v>
      </c>
      <c r="H101" s="7">
        <v>1433</v>
      </c>
      <c r="I101" s="7">
        <v>488</v>
      </c>
      <c r="J101" s="7">
        <v>1015</v>
      </c>
      <c r="K101" s="8">
        <v>24333</v>
      </c>
      <c r="L101" s="7">
        <v>172130</v>
      </c>
      <c r="M101" s="7">
        <v>21997.00283506652</v>
      </c>
      <c r="N101" s="7">
        <v>23500</v>
      </c>
      <c r="O101" s="7">
        <v>13.652471968860743</v>
      </c>
      <c r="P101" s="3" t="s">
        <v>21</v>
      </c>
    </row>
    <row r="102" spans="1:16" ht="14.25" customHeight="1" thickBot="1" x14ac:dyDescent="0.4">
      <c r="A102" s="3" t="s">
        <v>205</v>
      </c>
      <c r="B102" s="3" t="s">
        <v>13</v>
      </c>
      <c r="C102" s="10" t="s">
        <v>206</v>
      </c>
      <c r="D102" s="3" t="s">
        <v>38</v>
      </c>
      <c r="E102" s="3" t="s">
        <v>20</v>
      </c>
      <c r="F102" t="s">
        <v>548</v>
      </c>
      <c r="G102" s="7">
        <v>6892</v>
      </c>
      <c r="H102" s="7">
        <v>1184</v>
      </c>
      <c r="I102" s="7">
        <v>925</v>
      </c>
      <c r="J102" s="7">
        <v>1062</v>
      </c>
      <c r="K102" s="8">
        <v>75008</v>
      </c>
      <c r="L102" s="7">
        <v>116260</v>
      </c>
      <c r="M102" s="7">
        <v>8076.0079563048339</v>
      </c>
      <c r="N102" s="7">
        <v>10063</v>
      </c>
      <c r="O102" s="7">
        <v>8.6555995183210044</v>
      </c>
      <c r="P102" s="3" t="s">
        <v>55</v>
      </c>
    </row>
    <row r="103" spans="1:16" ht="14.25" customHeight="1" thickBot="1" x14ac:dyDescent="0.4">
      <c r="A103" s="3" t="s">
        <v>207</v>
      </c>
      <c r="B103" s="3" t="s">
        <v>46</v>
      </c>
      <c r="C103" s="10">
        <v>45926</v>
      </c>
      <c r="D103" s="3" t="s">
        <v>38</v>
      </c>
      <c r="E103" s="3" t="s">
        <v>35</v>
      </c>
      <c r="F103" t="s">
        <v>545</v>
      </c>
      <c r="G103" s="7">
        <v>9043</v>
      </c>
      <c r="H103" s="7">
        <v>1192</v>
      </c>
      <c r="I103" s="7">
        <v>810</v>
      </c>
      <c r="J103" s="7">
        <v>1550</v>
      </c>
      <c r="K103" s="8">
        <v>5221</v>
      </c>
      <c r="L103" s="7">
        <v>199476</v>
      </c>
      <c r="M103" s="7">
        <v>10235.004060638874</v>
      </c>
      <c r="N103" s="7">
        <v>12595</v>
      </c>
      <c r="O103" s="7">
        <v>6.3140427921153419</v>
      </c>
      <c r="P103" s="3" t="s">
        <v>21</v>
      </c>
    </row>
    <row r="104" spans="1:16" ht="14.25" customHeight="1" thickBot="1" x14ac:dyDescent="0.4">
      <c r="A104" s="3" t="s">
        <v>208</v>
      </c>
      <c r="B104" s="3" t="s">
        <v>46</v>
      </c>
      <c r="C104" s="10">
        <v>45927</v>
      </c>
      <c r="D104" s="3" t="s">
        <v>25</v>
      </c>
      <c r="E104" s="3" t="s">
        <v>20</v>
      </c>
      <c r="F104" t="s">
        <v>548</v>
      </c>
      <c r="G104" s="7">
        <v>18521</v>
      </c>
      <c r="H104" s="7">
        <v>1027</v>
      </c>
      <c r="I104" s="7">
        <v>230</v>
      </c>
      <c r="J104" s="7">
        <v>1247</v>
      </c>
      <c r="K104" s="8">
        <v>39588</v>
      </c>
      <c r="L104" s="7">
        <v>200928</v>
      </c>
      <c r="M104" s="7">
        <v>19548.001144688646</v>
      </c>
      <c r="N104" s="7">
        <v>21025</v>
      </c>
      <c r="O104" s="7">
        <v>10.46394728459946</v>
      </c>
      <c r="P104" s="3" t="s">
        <v>21</v>
      </c>
    </row>
    <row r="105" spans="1:16" ht="14.25" customHeight="1" thickBot="1" x14ac:dyDescent="0.4">
      <c r="A105" s="3" t="s">
        <v>209</v>
      </c>
      <c r="B105" s="3" t="s">
        <v>19</v>
      </c>
      <c r="C105" s="10" t="s">
        <v>210</v>
      </c>
      <c r="D105" s="3" t="s">
        <v>15</v>
      </c>
      <c r="E105" s="3" t="s">
        <v>26</v>
      </c>
      <c r="F105" t="s">
        <v>549</v>
      </c>
      <c r="G105" s="7">
        <v>24711</v>
      </c>
      <c r="H105" s="7">
        <v>882</v>
      </c>
      <c r="I105" s="7">
        <v>876</v>
      </c>
      <c r="J105" s="7">
        <v>2728</v>
      </c>
      <c r="K105" s="8">
        <v>32015</v>
      </c>
      <c r="L105" s="7">
        <v>180272</v>
      </c>
      <c r="M105" s="7">
        <v>25593.00485932369</v>
      </c>
      <c r="N105" s="7">
        <v>29197</v>
      </c>
      <c r="O105" s="7">
        <v>16.196081476879382</v>
      </c>
      <c r="P105" s="3" t="s">
        <v>32</v>
      </c>
    </row>
    <row r="106" spans="1:16" ht="14.25" customHeight="1" thickBot="1" x14ac:dyDescent="0.4">
      <c r="A106" s="3" t="s">
        <v>211</v>
      </c>
      <c r="B106" s="3" t="s">
        <v>46</v>
      </c>
      <c r="C106" s="10" t="s">
        <v>212</v>
      </c>
      <c r="D106" s="3" t="s">
        <v>38</v>
      </c>
      <c r="E106" s="3" t="s">
        <v>48</v>
      </c>
      <c r="F106" t="s">
        <v>553</v>
      </c>
      <c r="G106" s="7">
        <v>21856</v>
      </c>
      <c r="H106" s="7">
        <v>1203</v>
      </c>
      <c r="I106" s="7">
        <v>634</v>
      </c>
      <c r="J106" s="7">
        <v>2807</v>
      </c>
      <c r="K106" s="8">
        <v>3647</v>
      </c>
      <c r="L106" s="7">
        <v>104178</v>
      </c>
      <c r="M106" s="7">
        <v>23059.00608573787</v>
      </c>
      <c r="N106" s="7">
        <v>26500</v>
      </c>
      <c r="O106" s="7">
        <v>25.43723242911171</v>
      </c>
      <c r="P106" s="3" t="s">
        <v>32</v>
      </c>
    </row>
    <row r="107" spans="1:16" ht="14.25" customHeight="1" thickBot="1" x14ac:dyDescent="0.4">
      <c r="A107" s="3" t="s">
        <v>213</v>
      </c>
      <c r="B107" s="3" t="s">
        <v>46</v>
      </c>
      <c r="C107" s="10" t="s">
        <v>214</v>
      </c>
      <c r="D107" s="3" t="s">
        <v>38</v>
      </c>
      <c r="E107" s="3" t="s">
        <v>42</v>
      </c>
      <c r="F107" t="s">
        <v>552</v>
      </c>
      <c r="G107" s="7">
        <v>23833</v>
      </c>
      <c r="H107" s="7">
        <v>555</v>
      </c>
      <c r="I107" s="7">
        <v>523</v>
      </c>
      <c r="J107" s="7">
        <v>1330</v>
      </c>
      <c r="K107" s="8">
        <v>69141</v>
      </c>
      <c r="L107" s="7">
        <v>73997</v>
      </c>
      <c r="M107" s="7">
        <v>24388.007067854101</v>
      </c>
      <c r="N107" s="7">
        <v>26241</v>
      </c>
      <c r="O107" s="7">
        <v>35.462248469532547</v>
      </c>
      <c r="P107" s="3" t="s">
        <v>32</v>
      </c>
    </row>
    <row r="108" spans="1:16" ht="14.25" customHeight="1" thickBot="1" x14ac:dyDescent="0.4">
      <c r="A108" s="3" t="s">
        <v>215</v>
      </c>
      <c r="B108" s="3" t="s">
        <v>46</v>
      </c>
      <c r="C108" s="10" t="s">
        <v>216</v>
      </c>
      <c r="D108" s="3" t="s">
        <v>30</v>
      </c>
      <c r="E108" s="3" t="s">
        <v>31</v>
      </c>
      <c r="F108" t="s">
        <v>550</v>
      </c>
      <c r="G108" s="7">
        <v>21216</v>
      </c>
      <c r="H108" s="7">
        <v>1207</v>
      </c>
      <c r="I108" s="7">
        <v>859</v>
      </c>
      <c r="J108" s="7">
        <v>328</v>
      </c>
      <c r="K108" s="8">
        <v>91296</v>
      </c>
      <c r="L108" s="7">
        <v>196683</v>
      </c>
      <c r="M108" s="7">
        <v>22423.004367433892</v>
      </c>
      <c r="N108" s="7">
        <v>23610</v>
      </c>
      <c r="O108" s="7">
        <v>12.00408779609829</v>
      </c>
      <c r="P108" s="3" t="s">
        <v>27</v>
      </c>
    </row>
    <row r="109" spans="1:16" ht="14.25" customHeight="1" thickBot="1" x14ac:dyDescent="0.4">
      <c r="A109" s="3" t="s">
        <v>217</v>
      </c>
      <c r="B109" s="3" t="s">
        <v>19</v>
      </c>
      <c r="C109" s="10">
        <v>45928</v>
      </c>
      <c r="D109" s="3" t="s">
        <v>38</v>
      </c>
      <c r="E109" s="3" t="s">
        <v>42</v>
      </c>
      <c r="F109" t="s">
        <v>552</v>
      </c>
      <c r="G109" s="7">
        <v>21963</v>
      </c>
      <c r="H109" s="7">
        <v>1356</v>
      </c>
      <c r="I109" s="7">
        <v>349</v>
      </c>
      <c r="J109" s="7">
        <v>1206</v>
      </c>
      <c r="K109" s="8">
        <v>51755</v>
      </c>
      <c r="L109" s="7">
        <v>159273</v>
      </c>
      <c r="M109" s="7">
        <v>23319.002191206295</v>
      </c>
      <c r="N109" s="7">
        <v>24874</v>
      </c>
      <c r="O109" s="7">
        <v>15.617210701123231</v>
      </c>
      <c r="P109" s="3" t="s">
        <v>21</v>
      </c>
    </row>
    <row r="110" spans="1:16" ht="14.25" customHeight="1" thickBot="1" x14ac:dyDescent="0.4">
      <c r="A110" s="3" t="s">
        <v>218</v>
      </c>
      <c r="B110" s="3" t="s">
        <v>46</v>
      </c>
      <c r="C110" s="10" t="s">
        <v>219</v>
      </c>
      <c r="D110" s="3" t="s">
        <v>38</v>
      </c>
      <c r="E110" s="3" t="s">
        <v>42</v>
      </c>
      <c r="F110" t="s">
        <v>552</v>
      </c>
      <c r="G110" s="7">
        <v>24355</v>
      </c>
      <c r="H110" s="7">
        <v>1087</v>
      </c>
      <c r="I110" s="7">
        <v>686</v>
      </c>
      <c r="J110" s="7">
        <v>2426</v>
      </c>
      <c r="K110" s="8">
        <v>24963</v>
      </c>
      <c r="L110" s="7">
        <v>212307</v>
      </c>
      <c r="M110" s="7">
        <v>25442.003231169958</v>
      </c>
      <c r="N110" s="7">
        <v>28554</v>
      </c>
      <c r="O110" s="7">
        <v>13.449391682798966</v>
      </c>
      <c r="P110" s="3" t="s">
        <v>17</v>
      </c>
    </row>
    <row r="111" spans="1:16" ht="14.25" customHeight="1" thickBot="1" x14ac:dyDescent="0.4">
      <c r="A111" s="3" t="s">
        <v>220</v>
      </c>
      <c r="B111" s="3" t="s">
        <v>13</v>
      </c>
      <c r="C111" s="10" t="s">
        <v>221</v>
      </c>
      <c r="D111" s="3" t="s">
        <v>30</v>
      </c>
      <c r="E111" s="3" t="s">
        <v>42</v>
      </c>
      <c r="F111" t="s">
        <v>552</v>
      </c>
      <c r="G111" s="7">
        <v>6164</v>
      </c>
      <c r="H111" s="7">
        <v>326</v>
      </c>
      <c r="I111" s="7">
        <v>615</v>
      </c>
      <c r="J111" s="7">
        <v>2806</v>
      </c>
      <c r="K111" s="8">
        <v>38579</v>
      </c>
      <c r="L111" s="7">
        <v>206129</v>
      </c>
      <c r="M111" s="7">
        <v>6490.0029835685418</v>
      </c>
      <c r="N111" s="7">
        <v>9911</v>
      </c>
      <c r="O111" s="7">
        <v>4.8081541170820215</v>
      </c>
      <c r="P111" s="3" t="s">
        <v>55</v>
      </c>
    </row>
    <row r="112" spans="1:16" ht="14.25" customHeight="1" thickBot="1" x14ac:dyDescent="0.4">
      <c r="A112" s="3" t="s">
        <v>222</v>
      </c>
      <c r="B112" s="3" t="s">
        <v>19</v>
      </c>
      <c r="C112" s="10" t="s">
        <v>223</v>
      </c>
      <c r="D112" s="3" t="s">
        <v>25</v>
      </c>
      <c r="E112" s="3" t="s">
        <v>35</v>
      </c>
      <c r="F112" t="s">
        <v>545</v>
      </c>
      <c r="G112" s="7">
        <v>9941</v>
      </c>
      <c r="H112" s="7">
        <v>1329</v>
      </c>
      <c r="I112" s="7">
        <v>238</v>
      </c>
      <c r="J112" s="7">
        <v>869</v>
      </c>
      <c r="K112" s="8">
        <v>40281</v>
      </c>
      <c r="L112" s="7">
        <v>172311</v>
      </c>
      <c r="M112" s="7">
        <v>11270.001381223485</v>
      </c>
      <c r="N112" s="7">
        <v>12377</v>
      </c>
      <c r="O112" s="7">
        <v>7.1829424703007936</v>
      </c>
      <c r="P112" s="3" t="s">
        <v>27</v>
      </c>
    </row>
    <row r="113" spans="1:16" ht="14.25" customHeight="1" thickBot="1" x14ac:dyDescent="0.4">
      <c r="A113" s="3" t="s">
        <v>224</v>
      </c>
      <c r="B113" s="3" t="s">
        <v>13</v>
      </c>
      <c r="C113" s="10" t="s">
        <v>225</v>
      </c>
      <c r="D113" s="3" t="s">
        <v>38</v>
      </c>
      <c r="E113" s="3" t="s">
        <v>20</v>
      </c>
      <c r="F113" t="s">
        <v>548</v>
      </c>
      <c r="G113" s="7">
        <v>16388</v>
      </c>
      <c r="H113" s="7">
        <v>1208</v>
      </c>
      <c r="I113" s="7">
        <v>417</v>
      </c>
      <c r="J113" s="7">
        <v>2306</v>
      </c>
      <c r="K113" s="8">
        <v>16865</v>
      </c>
      <c r="L113" s="7">
        <v>236733</v>
      </c>
      <c r="M113" s="7">
        <v>17596.001761478121</v>
      </c>
      <c r="N113" s="7">
        <v>20319</v>
      </c>
      <c r="O113" s="7">
        <v>8.583087275538265</v>
      </c>
      <c r="P113" s="3" t="s">
        <v>17</v>
      </c>
    </row>
    <row r="114" spans="1:16" ht="14.25" customHeight="1" thickBot="1" x14ac:dyDescent="0.4">
      <c r="A114" s="3" t="s">
        <v>226</v>
      </c>
      <c r="B114" s="3" t="s">
        <v>19</v>
      </c>
      <c r="C114" s="10">
        <v>45929</v>
      </c>
      <c r="D114" s="3" t="s">
        <v>30</v>
      </c>
      <c r="E114" s="3" t="s">
        <v>70</v>
      </c>
      <c r="F114" t="s">
        <v>555</v>
      </c>
      <c r="G114" s="7">
        <v>7569</v>
      </c>
      <c r="H114" s="7">
        <v>803</v>
      </c>
      <c r="I114" s="7">
        <v>804</v>
      </c>
      <c r="J114" s="7">
        <v>1753</v>
      </c>
      <c r="K114" s="8">
        <v>43582</v>
      </c>
      <c r="L114" s="7">
        <v>166945</v>
      </c>
      <c r="M114" s="7">
        <v>8372.0048159573507</v>
      </c>
      <c r="N114" s="7">
        <v>10929</v>
      </c>
      <c r="O114" s="7">
        <v>6.5464673994429301</v>
      </c>
      <c r="P114" s="3" t="s">
        <v>21</v>
      </c>
    </row>
    <row r="115" spans="1:16" ht="14.25" customHeight="1" thickBot="1" x14ac:dyDescent="0.4">
      <c r="A115" s="3" t="s">
        <v>227</v>
      </c>
      <c r="B115" s="3" t="s">
        <v>46</v>
      </c>
      <c r="C115" s="10" t="s">
        <v>228</v>
      </c>
      <c r="D115" s="3" t="s">
        <v>15</v>
      </c>
      <c r="E115" s="3" t="s">
        <v>26</v>
      </c>
      <c r="F115" t="s">
        <v>549</v>
      </c>
      <c r="G115" s="7">
        <v>6300</v>
      </c>
      <c r="H115" s="7">
        <v>1213</v>
      </c>
      <c r="I115" s="7">
        <v>720</v>
      </c>
      <c r="J115" s="7">
        <v>1037</v>
      </c>
      <c r="K115" s="8">
        <v>39569</v>
      </c>
      <c r="L115" s="7">
        <v>85272</v>
      </c>
      <c r="M115" s="7">
        <v>7513.008443568815</v>
      </c>
      <c r="N115" s="7">
        <v>9270</v>
      </c>
      <c r="O115" s="7">
        <v>10.871094849423022</v>
      </c>
      <c r="P115" s="3" t="s">
        <v>32</v>
      </c>
    </row>
    <row r="116" spans="1:16" ht="14.25" customHeight="1" thickBot="1" x14ac:dyDescent="0.4">
      <c r="A116" s="3" t="s">
        <v>229</v>
      </c>
      <c r="B116" s="3" t="s">
        <v>13</v>
      </c>
      <c r="C116" s="10">
        <v>45930</v>
      </c>
      <c r="D116" s="3" t="s">
        <v>25</v>
      </c>
      <c r="E116" s="3" t="s">
        <v>16</v>
      </c>
      <c r="F116" t="s">
        <v>547</v>
      </c>
      <c r="G116" s="7">
        <v>8269</v>
      </c>
      <c r="H116" s="7">
        <v>250</v>
      </c>
      <c r="I116" s="7">
        <v>638</v>
      </c>
      <c r="J116" s="7">
        <v>815</v>
      </c>
      <c r="K116" s="8">
        <v>41991</v>
      </c>
      <c r="L116" s="7">
        <v>129393</v>
      </c>
      <c r="M116" s="7">
        <v>8519.0049307149529</v>
      </c>
      <c r="N116" s="7">
        <v>9972</v>
      </c>
      <c r="O116" s="7">
        <v>7.7067538429435904</v>
      </c>
      <c r="P116" s="3" t="s">
        <v>21</v>
      </c>
    </row>
    <row r="117" spans="1:16" ht="14.25" customHeight="1" thickBot="1" x14ac:dyDescent="0.4">
      <c r="A117" s="3" t="s">
        <v>230</v>
      </c>
      <c r="B117" s="3" t="s">
        <v>19</v>
      </c>
      <c r="C117" s="10" t="s">
        <v>231</v>
      </c>
      <c r="D117" s="3" t="s">
        <v>15</v>
      </c>
      <c r="E117" s="3" t="s">
        <v>42</v>
      </c>
      <c r="F117" t="s">
        <v>552</v>
      </c>
      <c r="G117" s="7">
        <v>5818</v>
      </c>
      <c r="H117" s="7">
        <v>1252</v>
      </c>
      <c r="I117" s="7">
        <v>687</v>
      </c>
      <c r="J117" s="7">
        <v>2300</v>
      </c>
      <c r="K117" s="8">
        <v>25081</v>
      </c>
      <c r="L117" s="7">
        <v>101212</v>
      </c>
      <c r="M117" s="7">
        <v>7070.0067877326801</v>
      </c>
      <c r="N117" s="7">
        <v>10057</v>
      </c>
      <c r="O117" s="7">
        <v>9.9365687863099232</v>
      </c>
      <c r="P117" s="3" t="s">
        <v>55</v>
      </c>
    </row>
    <row r="118" spans="1:16" ht="14.25" customHeight="1" thickBot="1" x14ac:dyDescent="0.4">
      <c r="A118" s="3" t="s">
        <v>232</v>
      </c>
      <c r="B118" s="3" t="s">
        <v>23</v>
      </c>
      <c r="C118" s="10" t="s">
        <v>233</v>
      </c>
      <c r="D118" s="3" t="s">
        <v>15</v>
      </c>
      <c r="E118" s="3" t="s">
        <v>62</v>
      </c>
      <c r="F118" t="s">
        <v>554</v>
      </c>
      <c r="G118" s="7">
        <v>14015</v>
      </c>
      <c r="H118" s="7">
        <v>978</v>
      </c>
      <c r="I118" s="7">
        <v>196</v>
      </c>
      <c r="J118" s="7">
        <v>2744</v>
      </c>
      <c r="K118" s="8">
        <v>20190</v>
      </c>
      <c r="L118" s="7">
        <v>186470</v>
      </c>
      <c r="M118" s="7">
        <v>14993.001051107416</v>
      </c>
      <c r="N118" s="7">
        <v>17933</v>
      </c>
      <c r="O118" s="7">
        <v>9.6170965839008957</v>
      </c>
      <c r="P118" s="3" t="s">
        <v>27</v>
      </c>
    </row>
    <row r="119" spans="1:16" ht="14.25" customHeight="1" thickBot="1" x14ac:dyDescent="0.4">
      <c r="A119" s="3" t="s">
        <v>234</v>
      </c>
      <c r="B119" s="3" t="s">
        <v>46</v>
      </c>
      <c r="C119" s="10" t="s">
        <v>233</v>
      </c>
      <c r="D119" s="3" t="s">
        <v>30</v>
      </c>
      <c r="E119" s="3" t="s">
        <v>35</v>
      </c>
      <c r="F119" t="s">
        <v>545</v>
      </c>
      <c r="G119" s="7">
        <v>14234</v>
      </c>
      <c r="H119" s="7">
        <v>1013</v>
      </c>
      <c r="I119" s="7">
        <v>437</v>
      </c>
      <c r="J119" s="7">
        <v>338</v>
      </c>
      <c r="K119" s="8">
        <v>67754</v>
      </c>
      <c r="L119" s="7">
        <v>160030</v>
      </c>
      <c r="M119" s="7">
        <v>15247.002730737986</v>
      </c>
      <c r="N119" s="7">
        <v>16022</v>
      </c>
      <c r="O119" s="7">
        <v>10.011872773854902</v>
      </c>
      <c r="P119" s="3" t="s">
        <v>27</v>
      </c>
    </row>
    <row r="120" spans="1:16" ht="14.25" customHeight="1" thickBot="1" x14ac:dyDescent="0.4">
      <c r="A120" s="3" t="s">
        <v>235</v>
      </c>
      <c r="B120" s="3" t="s">
        <v>19</v>
      </c>
      <c r="C120" s="10" t="s">
        <v>236</v>
      </c>
      <c r="D120" s="3" t="s">
        <v>38</v>
      </c>
      <c r="E120" s="3" t="s">
        <v>169</v>
      </c>
      <c r="F120" t="s">
        <v>556</v>
      </c>
      <c r="G120" s="7">
        <v>20290</v>
      </c>
      <c r="H120" s="7">
        <v>619</v>
      </c>
      <c r="I120" s="7">
        <v>927</v>
      </c>
      <c r="J120" s="7">
        <v>1186</v>
      </c>
      <c r="K120" s="8">
        <v>8924</v>
      </c>
      <c r="L120" s="7">
        <v>96503</v>
      </c>
      <c r="M120" s="7">
        <v>20909.009605918985</v>
      </c>
      <c r="N120" s="7">
        <v>23022</v>
      </c>
      <c r="O120" s="7">
        <v>23.856253173476471</v>
      </c>
      <c r="P120" s="3" t="s">
        <v>55</v>
      </c>
    </row>
    <row r="121" spans="1:16" ht="14.25" customHeight="1" thickBot="1" x14ac:dyDescent="0.4">
      <c r="A121" s="3" t="s">
        <v>237</v>
      </c>
      <c r="B121" s="3" t="s">
        <v>23</v>
      </c>
      <c r="C121" s="10" t="s">
        <v>130</v>
      </c>
      <c r="D121" s="3" t="s">
        <v>30</v>
      </c>
      <c r="E121" s="3" t="s">
        <v>31</v>
      </c>
      <c r="F121" t="s">
        <v>550</v>
      </c>
      <c r="G121" s="7">
        <v>8254</v>
      </c>
      <c r="H121" s="7">
        <v>1405</v>
      </c>
      <c r="I121" s="7">
        <v>165</v>
      </c>
      <c r="J121" s="7">
        <v>2504</v>
      </c>
      <c r="K121" s="8">
        <v>8081</v>
      </c>
      <c r="L121" s="7">
        <v>177710</v>
      </c>
      <c r="M121" s="7">
        <v>9659.000928478983</v>
      </c>
      <c r="N121" s="7">
        <v>12328</v>
      </c>
      <c r="O121" s="7">
        <v>6.9371447864498332</v>
      </c>
      <c r="P121" s="3" t="s">
        <v>17</v>
      </c>
    </row>
    <row r="122" spans="1:16" ht="14.25" customHeight="1" thickBot="1" x14ac:dyDescent="0.4">
      <c r="A122" s="3" t="s">
        <v>238</v>
      </c>
      <c r="B122" s="3" t="s">
        <v>19</v>
      </c>
      <c r="C122" s="10" t="s">
        <v>221</v>
      </c>
      <c r="D122" s="3" t="s">
        <v>30</v>
      </c>
      <c r="E122" s="3" t="s">
        <v>16</v>
      </c>
      <c r="F122" t="s">
        <v>547</v>
      </c>
      <c r="G122" s="7">
        <v>19144</v>
      </c>
      <c r="H122" s="7">
        <v>1182</v>
      </c>
      <c r="I122" s="7">
        <v>860</v>
      </c>
      <c r="J122" s="7">
        <v>1398</v>
      </c>
      <c r="K122" s="8">
        <v>4185</v>
      </c>
      <c r="L122" s="7">
        <v>46570</v>
      </c>
      <c r="M122" s="7">
        <v>20326.018466824135</v>
      </c>
      <c r="N122" s="7">
        <v>22584</v>
      </c>
      <c r="O122" s="7">
        <v>48.49473910242645</v>
      </c>
      <c r="P122" s="3" t="s">
        <v>17</v>
      </c>
    </row>
    <row r="123" spans="1:16" ht="14.25" customHeight="1" thickBot="1" x14ac:dyDescent="0.4">
      <c r="A123" s="3" t="s">
        <v>239</v>
      </c>
      <c r="B123" s="3" t="s">
        <v>23</v>
      </c>
      <c r="C123" s="10" t="s">
        <v>240</v>
      </c>
      <c r="D123" s="3" t="s">
        <v>30</v>
      </c>
      <c r="E123" s="3" t="s">
        <v>70</v>
      </c>
      <c r="F123" t="s">
        <v>555</v>
      </c>
      <c r="G123" s="7">
        <v>9350</v>
      </c>
      <c r="H123" s="7">
        <v>1024</v>
      </c>
      <c r="I123" s="7">
        <v>550</v>
      </c>
      <c r="J123" s="7">
        <v>2123</v>
      </c>
      <c r="K123" s="8">
        <v>53916</v>
      </c>
      <c r="L123" s="7">
        <v>108785</v>
      </c>
      <c r="M123" s="7">
        <v>10374.005055844096</v>
      </c>
      <c r="N123" s="7">
        <v>13047</v>
      </c>
      <c r="O123" s="7">
        <v>11.993381440455945</v>
      </c>
      <c r="P123" s="3" t="s">
        <v>27</v>
      </c>
    </row>
    <row r="124" spans="1:16" ht="14.25" customHeight="1" thickBot="1" x14ac:dyDescent="0.4">
      <c r="A124" s="3" t="s">
        <v>241</v>
      </c>
      <c r="B124" s="3" t="s">
        <v>46</v>
      </c>
      <c r="C124" s="10" t="s">
        <v>212</v>
      </c>
      <c r="D124" s="3" t="s">
        <v>30</v>
      </c>
      <c r="E124" s="3" t="s">
        <v>62</v>
      </c>
      <c r="F124" t="s">
        <v>554</v>
      </c>
      <c r="G124" s="7">
        <v>17183</v>
      </c>
      <c r="H124" s="7">
        <v>1224</v>
      </c>
      <c r="I124" s="7">
        <v>943</v>
      </c>
      <c r="J124" s="7">
        <v>2010</v>
      </c>
      <c r="K124" s="8">
        <v>21481</v>
      </c>
      <c r="L124" s="7">
        <v>49110</v>
      </c>
      <c r="M124" s="7">
        <v>18407.019201791896</v>
      </c>
      <c r="N124" s="7">
        <v>21360</v>
      </c>
      <c r="O124" s="7">
        <v>43.494196701282831</v>
      </c>
      <c r="P124" s="3" t="s">
        <v>27</v>
      </c>
    </row>
    <row r="125" spans="1:16" ht="14.25" customHeight="1" thickBot="1" x14ac:dyDescent="0.4">
      <c r="A125" s="3" t="s">
        <v>242</v>
      </c>
      <c r="B125" s="3" t="s">
        <v>13</v>
      </c>
      <c r="C125" s="10" t="s">
        <v>243</v>
      </c>
      <c r="D125" s="3" t="s">
        <v>25</v>
      </c>
      <c r="E125" s="3" t="s">
        <v>70</v>
      </c>
      <c r="F125" t="s">
        <v>555</v>
      </c>
      <c r="G125" s="7">
        <v>8238</v>
      </c>
      <c r="H125" s="7">
        <v>766</v>
      </c>
      <c r="I125" s="7">
        <v>235</v>
      </c>
      <c r="J125" s="7">
        <v>1273</v>
      </c>
      <c r="K125" s="8">
        <v>4706</v>
      </c>
      <c r="L125" s="7">
        <v>119141</v>
      </c>
      <c r="M125" s="7">
        <v>9004.0019724528083</v>
      </c>
      <c r="N125" s="7">
        <v>10512</v>
      </c>
      <c r="O125" s="7">
        <v>8.823159113990986</v>
      </c>
      <c r="P125" s="3" t="s">
        <v>32</v>
      </c>
    </row>
    <row r="126" spans="1:16" ht="14.25" customHeight="1" thickBot="1" x14ac:dyDescent="0.4">
      <c r="A126" s="3" t="s">
        <v>244</v>
      </c>
      <c r="B126" s="3" t="s">
        <v>23</v>
      </c>
      <c r="C126" s="10" t="s">
        <v>245</v>
      </c>
      <c r="D126" s="3" t="s">
        <v>38</v>
      </c>
      <c r="E126" s="3" t="s">
        <v>16</v>
      </c>
      <c r="F126" t="s">
        <v>547</v>
      </c>
      <c r="G126" s="7">
        <v>8090</v>
      </c>
      <c r="H126" s="7">
        <v>570</v>
      </c>
      <c r="I126" s="7">
        <v>399</v>
      </c>
      <c r="J126" s="7">
        <v>1862</v>
      </c>
      <c r="K126" s="8">
        <v>34088</v>
      </c>
      <c r="L126" s="7">
        <v>52115</v>
      </c>
      <c r="M126" s="7">
        <v>8660.0076561450642</v>
      </c>
      <c r="N126" s="7">
        <v>10921</v>
      </c>
      <c r="O126" s="7">
        <v>20.955579007963156</v>
      </c>
      <c r="P126" s="3" t="s">
        <v>17</v>
      </c>
    </row>
    <row r="127" spans="1:16" ht="14.25" customHeight="1" thickBot="1" x14ac:dyDescent="0.4">
      <c r="A127" s="3" t="s">
        <v>246</v>
      </c>
      <c r="B127" s="3" t="s">
        <v>19</v>
      </c>
      <c r="C127" s="10" t="s">
        <v>144</v>
      </c>
      <c r="D127" s="3" t="s">
        <v>15</v>
      </c>
      <c r="E127" s="3" t="s">
        <v>42</v>
      </c>
      <c r="F127" t="s">
        <v>552</v>
      </c>
      <c r="G127" s="7">
        <v>13637</v>
      </c>
      <c r="H127" s="7">
        <v>1135</v>
      </c>
      <c r="I127" s="7">
        <v>540</v>
      </c>
      <c r="J127" s="7">
        <v>1288</v>
      </c>
      <c r="K127" s="8">
        <v>45183</v>
      </c>
      <c r="L127" s="7">
        <v>79062</v>
      </c>
      <c r="M127" s="7">
        <v>14772.006830082721</v>
      </c>
      <c r="N127" s="7">
        <v>16600</v>
      </c>
      <c r="O127" s="7">
        <v>20.996180212997395</v>
      </c>
      <c r="P127" s="3" t="s">
        <v>55</v>
      </c>
    </row>
    <row r="128" spans="1:16" ht="14.25" customHeight="1" thickBot="1" x14ac:dyDescent="0.4">
      <c r="A128" s="3" t="s">
        <v>247</v>
      </c>
      <c r="B128" s="3" t="s">
        <v>46</v>
      </c>
      <c r="C128" s="10" t="s">
        <v>181</v>
      </c>
      <c r="D128" s="3" t="s">
        <v>15</v>
      </c>
      <c r="E128" s="3" t="s">
        <v>62</v>
      </c>
      <c r="F128" t="s">
        <v>554</v>
      </c>
      <c r="G128" s="7">
        <v>24415</v>
      </c>
      <c r="H128" s="7">
        <v>860</v>
      </c>
      <c r="I128" s="7">
        <v>931</v>
      </c>
      <c r="J128" s="7">
        <v>320</v>
      </c>
      <c r="K128" s="8">
        <v>65049</v>
      </c>
      <c r="L128" s="7">
        <v>62911</v>
      </c>
      <c r="M128" s="7">
        <v>25275.014798683856</v>
      </c>
      <c r="N128" s="7">
        <v>26526</v>
      </c>
      <c r="O128" s="7">
        <v>42.164327383128544</v>
      </c>
      <c r="P128" s="3" t="s">
        <v>17</v>
      </c>
    </row>
    <row r="129" spans="1:16" ht="14.25" customHeight="1" thickBot="1" x14ac:dyDescent="0.4">
      <c r="A129" s="3" t="s">
        <v>248</v>
      </c>
      <c r="B129" s="3" t="s">
        <v>23</v>
      </c>
      <c r="C129" s="10" t="s">
        <v>249</v>
      </c>
      <c r="D129" s="3" t="s">
        <v>38</v>
      </c>
      <c r="E129" s="3" t="s">
        <v>70</v>
      </c>
      <c r="F129" t="s">
        <v>555</v>
      </c>
      <c r="G129" s="7">
        <v>14647</v>
      </c>
      <c r="H129" s="7">
        <v>1168</v>
      </c>
      <c r="I129" s="7">
        <v>484</v>
      </c>
      <c r="J129" s="7">
        <v>2650</v>
      </c>
      <c r="K129" s="8">
        <v>27217</v>
      </c>
      <c r="L129" s="7">
        <v>144061</v>
      </c>
      <c r="M129" s="7">
        <v>15815.003359687909</v>
      </c>
      <c r="N129" s="7">
        <v>18949</v>
      </c>
      <c r="O129" s="7">
        <v>13.153455827739638</v>
      </c>
      <c r="P129" s="3" t="s">
        <v>32</v>
      </c>
    </row>
    <row r="130" spans="1:16" ht="14.25" customHeight="1" thickBot="1" x14ac:dyDescent="0.4">
      <c r="A130" s="3" t="s">
        <v>250</v>
      </c>
      <c r="B130" s="3" t="s">
        <v>19</v>
      </c>
      <c r="C130" s="10" t="s">
        <v>52</v>
      </c>
      <c r="D130" s="3" t="s">
        <v>15</v>
      </c>
      <c r="E130" s="3" t="s">
        <v>31</v>
      </c>
      <c r="F130" t="s">
        <v>550</v>
      </c>
      <c r="G130" s="7">
        <v>11911</v>
      </c>
      <c r="H130" s="7">
        <v>1360</v>
      </c>
      <c r="I130" s="7">
        <v>778</v>
      </c>
      <c r="J130" s="7">
        <v>1168</v>
      </c>
      <c r="K130" s="8">
        <v>16483</v>
      </c>
      <c r="L130" s="7">
        <v>72556</v>
      </c>
      <c r="M130" s="7">
        <v>13271.01072275208</v>
      </c>
      <c r="N130" s="7">
        <v>15217</v>
      </c>
      <c r="O130" s="7">
        <v>20.972765863608799</v>
      </c>
      <c r="P130" s="3" t="s">
        <v>27</v>
      </c>
    </row>
    <row r="131" spans="1:16" ht="14.25" customHeight="1" thickBot="1" x14ac:dyDescent="0.4">
      <c r="A131" s="3" t="s">
        <v>251</v>
      </c>
      <c r="B131" s="3" t="s">
        <v>19</v>
      </c>
      <c r="C131" s="10" t="s">
        <v>252</v>
      </c>
      <c r="D131" s="3" t="s">
        <v>38</v>
      </c>
      <c r="E131" s="3" t="s">
        <v>20</v>
      </c>
      <c r="F131" t="s">
        <v>548</v>
      </c>
      <c r="G131" s="7">
        <v>10472</v>
      </c>
      <c r="H131" s="7">
        <v>401</v>
      </c>
      <c r="I131" s="7">
        <v>668</v>
      </c>
      <c r="J131" s="7">
        <v>383</v>
      </c>
      <c r="K131" s="8">
        <v>37571</v>
      </c>
      <c r="L131" s="7">
        <v>249203</v>
      </c>
      <c r="M131" s="7">
        <v>10873.00268054558</v>
      </c>
      <c r="N131" s="7">
        <v>11924</v>
      </c>
      <c r="O131" s="7">
        <v>4.7848541149183594</v>
      </c>
      <c r="P131" s="3" t="s">
        <v>27</v>
      </c>
    </row>
    <row r="132" spans="1:16" ht="14.25" customHeight="1" thickBot="1" x14ac:dyDescent="0.4">
      <c r="A132" s="3" t="s">
        <v>253</v>
      </c>
      <c r="B132" s="3" t="s">
        <v>19</v>
      </c>
      <c r="C132" s="10" t="s">
        <v>130</v>
      </c>
      <c r="D132" s="3" t="s">
        <v>15</v>
      </c>
      <c r="E132" s="3" t="s">
        <v>48</v>
      </c>
      <c r="F132" t="s">
        <v>553</v>
      </c>
      <c r="G132" s="7">
        <v>20271</v>
      </c>
      <c r="H132" s="7">
        <v>512</v>
      </c>
      <c r="I132" s="7">
        <v>286</v>
      </c>
      <c r="J132" s="7">
        <v>1982</v>
      </c>
      <c r="K132" s="8">
        <v>43225</v>
      </c>
      <c r="L132" s="7">
        <v>168335</v>
      </c>
      <c r="M132" s="7">
        <v>20783.001698993081</v>
      </c>
      <c r="N132" s="7">
        <v>23051</v>
      </c>
      <c r="O132" s="7">
        <v>13.693527786853595</v>
      </c>
      <c r="P132" s="3" t="s">
        <v>32</v>
      </c>
    </row>
    <row r="133" spans="1:16" ht="14.25" customHeight="1" thickBot="1" x14ac:dyDescent="0.4">
      <c r="A133" s="3" t="s">
        <v>254</v>
      </c>
      <c r="B133" s="3" t="s">
        <v>23</v>
      </c>
      <c r="C133" s="10" t="s">
        <v>83</v>
      </c>
      <c r="D133" s="3" t="s">
        <v>30</v>
      </c>
      <c r="E133" s="3" t="s">
        <v>20</v>
      </c>
      <c r="F133" t="s">
        <v>548</v>
      </c>
      <c r="G133" s="7">
        <v>5266</v>
      </c>
      <c r="H133" s="7">
        <v>316</v>
      </c>
      <c r="I133" s="7">
        <v>837</v>
      </c>
      <c r="J133" s="7">
        <v>2276</v>
      </c>
      <c r="K133" s="8">
        <v>20967</v>
      </c>
      <c r="L133" s="7">
        <v>41969</v>
      </c>
      <c r="M133" s="7">
        <v>5582.0199432914769</v>
      </c>
      <c r="N133" s="7">
        <v>8695</v>
      </c>
      <c r="O133" s="7">
        <v>20.717672567847696</v>
      </c>
      <c r="P133" s="3" t="s">
        <v>55</v>
      </c>
    </row>
    <row r="134" spans="1:16" ht="14.25" customHeight="1" thickBot="1" x14ac:dyDescent="0.4">
      <c r="A134" s="3" t="s">
        <v>255</v>
      </c>
      <c r="B134" s="3" t="s">
        <v>23</v>
      </c>
      <c r="C134" s="10" t="s">
        <v>256</v>
      </c>
      <c r="D134" s="3" t="s">
        <v>15</v>
      </c>
      <c r="E134" s="3" t="s">
        <v>16</v>
      </c>
      <c r="F134" t="s">
        <v>547</v>
      </c>
      <c r="G134" s="7">
        <v>2666</v>
      </c>
      <c r="H134" s="7">
        <v>1136</v>
      </c>
      <c r="I134" s="7">
        <v>989</v>
      </c>
      <c r="J134" s="7">
        <v>1710</v>
      </c>
      <c r="K134" s="8">
        <v>36467</v>
      </c>
      <c r="L134" s="7">
        <v>83753</v>
      </c>
      <c r="M134" s="7">
        <v>3802.0118085322315</v>
      </c>
      <c r="N134" s="7">
        <v>6501</v>
      </c>
      <c r="O134" s="7">
        <v>7.7621100139696493</v>
      </c>
      <c r="P134" s="3" t="s">
        <v>27</v>
      </c>
    </row>
    <row r="135" spans="1:16" ht="14.25" customHeight="1" thickBot="1" x14ac:dyDescent="0.4">
      <c r="A135" s="3" t="s">
        <v>257</v>
      </c>
      <c r="B135" s="3" t="s">
        <v>23</v>
      </c>
      <c r="C135" s="10">
        <v>45931</v>
      </c>
      <c r="D135" s="3" t="s">
        <v>38</v>
      </c>
      <c r="E135" s="3" t="s">
        <v>35</v>
      </c>
      <c r="F135" t="s">
        <v>545</v>
      </c>
      <c r="G135" s="7">
        <v>6188</v>
      </c>
      <c r="H135" s="7">
        <v>774</v>
      </c>
      <c r="I135" s="7">
        <v>647</v>
      </c>
      <c r="J135" s="7">
        <v>1830</v>
      </c>
      <c r="K135" s="8">
        <v>55436</v>
      </c>
      <c r="L135" s="7">
        <v>175542</v>
      </c>
      <c r="M135" s="7">
        <v>6962.0036857276318</v>
      </c>
      <c r="N135" s="7">
        <v>9439</v>
      </c>
      <c r="O135" s="7">
        <v>5.3770607603878275</v>
      </c>
      <c r="P135" s="3" t="s">
        <v>21</v>
      </c>
    </row>
    <row r="136" spans="1:16" ht="14.25" customHeight="1" thickBot="1" x14ac:dyDescent="0.4">
      <c r="A136" s="3" t="s">
        <v>258</v>
      </c>
      <c r="B136" s="3" t="s">
        <v>13</v>
      </c>
      <c r="C136" s="10" t="s">
        <v>259</v>
      </c>
      <c r="D136" s="3" t="s">
        <v>38</v>
      </c>
      <c r="E136" s="3" t="s">
        <v>48</v>
      </c>
      <c r="F136" t="s">
        <v>553</v>
      </c>
      <c r="G136" s="7">
        <v>19055</v>
      </c>
      <c r="H136" s="7">
        <v>443</v>
      </c>
      <c r="I136" s="7">
        <v>976</v>
      </c>
      <c r="J136" s="7">
        <v>869</v>
      </c>
      <c r="K136" s="8">
        <v>75437</v>
      </c>
      <c r="L136" s="7">
        <v>161863</v>
      </c>
      <c r="M136" s="7">
        <v>19498.006029790624</v>
      </c>
      <c r="N136" s="7">
        <v>21343</v>
      </c>
      <c r="O136" s="7">
        <v>13.185842348158626</v>
      </c>
      <c r="P136" s="3" t="s">
        <v>27</v>
      </c>
    </row>
    <row r="137" spans="1:16" ht="14.25" customHeight="1" thickBot="1" x14ac:dyDescent="0.4">
      <c r="A137" s="3" t="s">
        <v>260</v>
      </c>
      <c r="B137" s="3" t="s">
        <v>23</v>
      </c>
      <c r="C137" s="10">
        <v>45932</v>
      </c>
      <c r="D137" s="3" t="s">
        <v>38</v>
      </c>
      <c r="E137" s="3" t="s">
        <v>26</v>
      </c>
      <c r="F137" t="s">
        <v>549</v>
      </c>
      <c r="G137" s="7">
        <v>12161</v>
      </c>
      <c r="H137" s="7">
        <v>736</v>
      </c>
      <c r="I137" s="7">
        <v>876</v>
      </c>
      <c r="J137" s="7">
        <v>1233</v>
      </c>
      <c r="K137" s="8">
        <v>21337</v>
      </c>
      <c r="L137" s="7">
        <v>50225</v>
      </c>
      <c r="M137" s="7">
        <v>12897.017441513191</v>
      </c>
      <c r="N137" s="7">
        <v>15006</v>
      </c>
      <c r="O137" s="7">
        <v>29.877551020408159</v>
      </c>
      <c r="P137" s="3" t="s">
        <v>21</v>
      </c>
    </row>
    <row r="138" spans="1:16" ht="14.25" customHeight="1" thickBot="1" x14ac:dyDescent="0.4">
      <c r="A138" s="3" t="s">
        <v>261</v>
      </c>
      <c r="B138" s="3" t="s">
        <v>23</v>
      </c>
      <c r="C138" s="10" t="s">
        <v>91</v>
      </c>
      <c r="D138" s="3" t="s">
        <v>38</v>
      </c>
      <c r="E138" s="3" t="s">
        <v>31</v>
      </c>
      <c r="F138" t="s">
        <v>550</v>
      </c>
      <c r="G138" s="7">
        <v>13314</v>
      </c>
      <c r="H138" s="7">
        <v>274</v>
      </c>
      <c r="I138" s="7">
        <v>626</v>
      </c>
      <c r="J138" s="7">
        <v>2280</v>
      </c>
      <c r="K138" s="8">
        <v>14639</v>
      </c>
      <c r="L138" s="7">
        <v>163008</v>
      </c>
      <c r="M138" s="7">
        <v>13588.003840302317</v>
      </c>
      <c r="N138" s="7">
        <v>16494</v>
      </c>
      <c r="O138" s="7">
        <v>10.118521790341578</v>
      </c>
      <c r="P138" s="3" t="s">
        <v>32</v>
      </c>
    </row>
    <row r="139" spans="1:16" ht="14.25" customHeight="1" thickBot="1" x14ac:dyDescent="0.4">
      <c r="A139" s="3" t="s">
        <v>262</v>
      </c>
      <c r="B139" s="3" t="s">
        <v>23</v>
      </c>
      <c r="C139" s="10" t="s">
        <v>148</v>
      </c>
      <c r="D139" s="3" t="s">
        <v>38</v>
      </c>
      <c r="E139" s="3" t="s">
        <v>26</v>
      </c>
      <c r="F139" t="s">
        <v>549</v>
      </c>
      <c r="G139" s="7">
        <v>23508</v>
      </c>
      <c r="H139" s="7">
        <v>585</v>
      </c>
      <c r="I139" s="7">
        <v>743</v>
      </c>
      <c r="J139" s="7">
        <v>2155</v>
      </c>
      <c r="K139" s="8">
        <v>3704</v>
      </c>
      <c r="L139" s="7">
        <v>194268</v>
      </c>
      <c r="M139" s="7">
        <v>24093.003824613421</v>
      </c>
      <c r="N139" s="7">
        <v>26991</v>
      </c>
      <c r="O139" s="7">
        <v>13.893693248502071</v>
      </c>
      <c r="P139" s="3" t="s">
        <v>32</v>
      </c>
    </row>
    <row r="140" spans="1:16" ht="14.25" customHeight="1" thickBot="1" x14ac:dyDescent="0.4">
      <c r="A140" s="3" t="s">
        <v>263</v>
      </c>
      <c r="B140" s="3" t="s">
        <v>13</v>
      </c>
      <c r="C140" s="10" t="s">
        <v>264</v>
      </c>
      <c r="D140" s="3" t="s">
        <v>25</v>
      </c>
      <c r="E140" s="3" t="s">
        <v>62</v>
      </c>
      <c r="F140" t="s">
        <v>554</v>
      </c>
      <c r="G140" s="7">
        <v>23969</v>
      </c>
      <c r="H140" s="7">
        <v>1433</v>
      </c>
      <c r="I140" s="7">
        <v>372</v>
      </c>
      <c r="J140" s="7">
        <v>1092</v>
      </c>
      <c r="K140" s="8">
        <v>32147</v>
      </c>
      <c r="L140" s="7">
        <v>145823</v>
      </c>
      <c r="M140" s="7">
        <v>25402.002551037902</v>
      </c>
      <c r="N140" s="7">
        <v>26866</v>
      </c>
      <c r="O140" s="7">
        <v>18.423705451129109</v>
      </c>
      <c r="P140" s="3" t="s">
        <v>27</v>
      </c>
    </row>
    <row r="141" spans="1:16" ht="14.25" customHeight="1" thickBot="1" x14ac:dyDescent="0.4">
      <c r="A141" s="3" t="s">
        <v>265</v>
      </c>
      <c r="B141" s="3" t="s">
        <v>23</v>
      </c>
      <c r="C141" s="10" t="s">
        <v>266</v>
      </c>
      <c r="D141" s="3" t="s">
        <v>25</v>
      </c>
      <c r="E141" s="3" t="s">
        <v>39</v>
      </c>
      <c r="F141" t="s">
        <v>551</v>
      </c>
      <c r="G141" s="7">
        <v>14891</v>
      </c>
      <c r="H141" s="7">
        <v>674</v>
      </c>
      <c r="I141" s="7">
        <v>521</v>
      </c>
      <c r="J141" s="7">
        <v>1091</v>
      </c>
      <c r="K141" s="8">
        <v>18101</v>
      </c>
      <c r="L141" s="7">
        <v>53669</v>
      </c>
      <c r="M141" s="7">
        <v>15565.009707652462</v>
      </c>
      <c r="N141" s="7">
        <v>17177</v>
      </c>
      <c r="O141" s="7">
        <v>32.005440757234155</v>
      </c>
      <c r="P141" s="3" t="s">
        <v>17</v>
      </c>
    </row>
    <row r="142" spans="1:16" ht="14.25" customHeight="1" thickBot="1" x14ac:dyDescent="0.4">
      <c r="A142" s="3" t="s">
        <v>267</v>
      </c>
      <c r="B142" s="3" t="s">
        <v>19</v>
      </c>
      <c r="C142" s="10">
        <v>45933</v>
      </c>
      <c r="D142" s="3" t="s">
        <v>15</v>
      </c>
      <c r="E142" s="3" t="s">
        <v>48</v>
      </c>
      <c r="F142" t="s">
        <v>553</v>
      </c>
      <c r="G142" s="7">
        <v>6777</v>
      </c>
      <c r="H142" s="7">
        <v>617</v>
      </c>
      <c r="I142" s="7">
        <v>551</v>
      </c>
      <c r="J142" s="7">
        <v>2109</v>
      </c>
      <c r="K142" s="8">
        <v>18559</v>
      </c>
      <c r="L142" s="7">
        <v>208452</v>
      </c>
      <c r="M142" s="7">
        <v>7394.0026432943796</v>
      </c>
      <c r="N142" s="7">
        <v>10054</v>
      </c>
      <c r="O142" s="7">
        <v>4.8231727208182216</v>
      </c>
      <c r="P142" s="3" t="s">
        <v>21</v>
      </c>
    </row>
    <row r="143" spans="1:16" ht="14.25" customHeight="1" thickBot="1" x14ac:dyDescent="0.4">
      <c r="A143" s="3" t="s">
        <v>268</v>
      </c>
      <c r="B143" s="3" t="s">
        <v>23</v>
      </c>
      <c r="C143" s="10" t="s">
        <v>269</v>
      </c>
      <c r="D143" s="3" t="s">
        <v>38</v>
      </c>
      <c r="E143" s="3" t="s">
        <v>26</v>
      </c>
      <c r="F143" t="s">
        <v>549</v>
      </c>
      <c r="G143" s="7">
        <v>5900</v>
      </c>
      <c r="H143" s="7">
        <v>546</v>
      </c>
      <c r="I143" s="7">
        <v>592</v>
      </c>
      <c r="J143" s="7">
        <v>1594</v>
      </c>
      <c r="K143" s="8">
        <v>38627</v>
      </c>
      <c r="L143" s="7">
        <v>164398</v>
      </c>
      <c r="M143" s="7">
        <v>6446.0036010170443</v>
      </c>
      <c r="N143" s="7">
        <v>8632</v>
      </c>
      <c r="O143" s="7">
        <v>5.2506721492962196</v>
      </c>
      <c r="P143" s="3" t="s">
        <v>55</v>
      </c>
    </row>
    <row r="144" spans="1:16" ht="14.25" customHeight="1" thickBot="1" x14ac:dyDescent="0.4">
      <c r="A144" s="3" t="s">
        <v>270</v>
      </c>
      <c r="B144" s="3" t="s">
        <v>19</v>
      </c>
      <c r="C144" s="10" t="s">
        <v>240</v>
      </c>
      <c r="D144" s="3" t="s">
        <v>15</v>
      </c>
      <c r="E144" s="3" t="s">
        <v>26</v>
      </c>
      <c r="F144" t="s">
        <v>549</v>
      </c>
      <c r="G144" s="7">
        <v>15716</v>
      </c>
      <c r="H144" s="7">
        <v>839</v>
      </c>
      <c r="I144" s="7">
        <v>639</v>
      </c>
      <c r="J144" s="7">
        <v>2839</v>
      </c>
      <c r="K144" s="8">
        <v>349</v>
      </c>
      <c r="L144" s="7">
        <v>150677</v>
      </c>
      <c r="M144" s="7">
        <v>16555.004240859587</v>
      </c>
      <c r="N144" s="7">
        <v>20033</v>
      </c>
      <c r="O144" s="7">
        <v>13.295327090398668</v>
      </c>
      <c r="P144" s="3" t="s">
        <v>27</v>
      </c>
    </row>
    <row r="145" spans="1:16" ht="14.25" customHeight="1" thickBot="1" x14ac:dyDescent="0.4">
      <c r="A145" s="3" t="s">
        <v>271</v>
      </c>
      <c r="B145" s="3" t="s">
        <v>19</v>
      </c>
      <c r="C145" s="10" t="s">
        <v>161</v>
      </c>
      <c r="D145" s="3" t="s">
        <v>38</v>
      </c>
      <c r="E145" s="3" t="s">
        <v>70</v>
      </c>
      <c r="F145" t="s">
        <v>555</v>
      </c>
      <c r="G145" s="7">
        <v>8981</v>
      </c>
      <c r="H145" s="7">
        <v>1138</v>
      </c>
      <c r="I145" s="7">
        <v>764</v>
      </c>
      <c r="J145" s="7">
        <v>2555</v>
      </c>
      <c r="K145" s="8">
        <v>92810</v>
      </c>
      <c r="L145" s="7">
        <v>88320</v>
      </c>
      <c r="M145" s="7">
        <v>10119.008650362319</v>
      </c>
      <c r="N145" s="7">
        <v>13438</v>
      </c>
      <c r="O145" s="7">
        <v>15.215126811594203</v>
      </c>
      <c r="P145" s="3" t="s">
        <v>55</v>
      </c>
    </row>
    <row r="146" spans="1:16" ht="14.25" customHeight="1" thickBot="1" x14ac:dyDescent="0.4">
      <c r="A146" s="3" t="s">
        <v>272</v>
      </c>
      <c r="B146" s="3" t="s">
        <v>19</v>
      </c>
      <c r="C146" s="10" t="s">
        <v>29</v>
      </c>
      <c r="D146" s="3" t="s">
        <v>38</v>
      </c>
      <c r="E146" s="3" t="s">
        <v>20</v>
      </c>
      <c r="F146" t="s">
        <v>548</v>
      </c>
      <c r="G146" s="7">
        <v>8376</v>
      </c>
      <c r="H146" s="7">
        <v>1154</v>
      </c>
      <c r="I146" s="7">
        <v>422</v>
      </c>
      <c r="J146" s="7">
        <v>1907</v>
      </c>
      <c r="K146" s="8">
        <v>36874</v>
      </c>
      <c r="L146" s="7">
        <v>218486</v>
      </c>
      <c r="M146" s="7">
        <v>9530.0019314738711</v>
      </c>
      <c r="N146" s="7">
        <v>11859</v>
      </c>
      <c r="O146" s="7">
        <v>5.4278077313878237</v>
      </c>
      <c r="P146" s="3" t="s">
        <v>27</v>
      </c>
    </row>
    <row r="147" spans="1:16" ht="14.25" customHeight="1" thickBot="1" x14ac:dyDescent="0.4">
      <c r="A147" s="3" t="s">
        <v>273</v>
      </c>
      <c r="B147" s="3" t="s">
        <v>13</v>
      </c>
      <c r="C147" s="10" t="s">
        <v>274</v>
      </c>
      <c r="D147" s="3" t="s">
        <v>25</v>
      </c>
      <c r="E147" s="3" t="s">
        <v>70</v>
      </c>
      <c r="F147" t="s">
        <v>555</v>
      </c>
      <c r="G147" s="7">
        <v>18907</v>
      </c>
      <c r="H147" s="7">
        <v>1075</v>
      </c>
      <c r="I147" s="7">
        <v>675</v>
      </c>
      <c r="J147" s="7">
        <v>1383</v>
      </c>
      <c r="K147" s="8">
        <v>17875</v>
      </c>
      <c r="L147" s="7">
        <v>186649</v>
      </c>
      <c r="M147" s="7">
        <v>19982.003616413695</v>
      </c>
      <c r="N147" s="7">
        <v>22040</v>
      </c>
      <c r="O147" s="7">
        <v>11.808260424647333</v>
      </c>
      <c r="P147" s="3" t="s">
        <v>17</v>
      </c>
    </row>
    <row r="148" spans="1:16" ht="14.25" customHeight="1" thickBot="1" x14ac:dyDescent="0.4">
      <c r="A148" s="3" t="s">
        <v>275</v>
      </c>
      <c r="B148" s="3" t="s">
        <v>13</v>
      </c>
      <c r="C148" s="10" t="s">
        <v>130</v>
      </c>
      <c r="D148" s="3" t="s">
        <v>25</v>
      </c>
      <c r="E148" s="3" t="s">
        <v>48</v>
      </c>
      <c r="F148" t="s">
        <v>553</v>
      </c>
      <c r="G148" s="7">
        <v>20777</v>
      </c>
      <c r="H148" s="7">
        <v>962</v>
      </c>
      <c r="I148" s="7">
        <v>308</v>
      </c>
      <c r="J148" s="7">
        <v>2777</v>
      </c>
      <c r="K148" s="8">
        <v>25529</v>
      </c>
      <c r="L148" s="7">
        <v>165354</v>
      </c>
      <c r="M148" s="7">
        <v>21739.001862670393</v>
      </c>
      <c r="N148" s="7">
        <v>24824</v>
      </c>
      <c r="O148" s="7">
        <v>15.012639549088622</v>
      </c>
      <c r="P148" s="3" t="s">
        <v>17</v>
      </c>
    </row>
    <row r="149" spans="1:16" ht="14.25" customHeight="1" thickBot="1" x14ac:dyDescent="0.4">
      <c r="A149" s="3" t="s">
        <v>276</v>
      </c>
      <c r="B149" s="3" t="s">
        <v>13</v>
      </c>
      <c r="C149" s="10" t="s">
        <v>132</v>
      </c>
      <c r="D149" s="3" t="s">
        <v>30</v>
      </c>
      <c r="E149" s="3" t="s">
        <v>48</v>
      </c>
      <c r="F149" t="s">
        <v>553</v>
      </c>
      <c r="G149" s="7">
        <v>20977</v>
      </c>
      <c r="H149" s="7">
        <v>1402</v>
      </c>
      <c r="I149" s="7">
        <v>301</v>
      </c>
      <c r="J149" s="7">
        <v>1284</v>
      </c>
      <c r="K149" s="8">
        <v>24620</v>
      </c>
      <c r="L149" s="7">
        <v>128009</v>
      </c>
      <c r="M149" s="7">
        <v>22379.002351397168</v>
      </c>
      <c r="N149" s="7">
        <v>23964</v>
      </c>
      <c r="O149" s="7">
        <v>18.720558710715654</v>
      </c>
      <c r="P149" s="3" t="s">
        <v>17</v>
      </c>
    </row>
    <row r="150" spans="1:16" ht="14.25" customHeight="1" thickBot="1" x14ac:dyDescent="0.4">
      <c r="A150" s="3" t="s">
        <v>277</v>
      </c>
      <c r="B150" s="3" t="s">
        <v>23</v>
      </c>
      <c r="C150" s="10" t="s">
        <v>278</v>
      </c>
      <c r="D150" s="3" t="s">
        <v>25</v>
      </c>
      <c r="E150" s="3" t="s">
        <v>16</v>
      </c>
      <c r="F150" t="s">
        <v>547</v>
      </c>
      <c r="G150" s="7">
        <v>12160</v>
      </c>
      <c r="H150" s="7">
        <v>1405</v>
      </c>
      <c r="I150" s="7">
        <v>769</v>
      </c>
      <c r="J150" s="7">
        <v>1980</v>
      </c>
      <c r="K150" s="8">
        <v>33174</v>
      </c>
      <c r="L150" s="7">
        <v>226481</v>
      </c>
      <c r="M150" s="7">
        <v>13565.003395428314</v>
      </c>
      <c r="N150" s="7">
        <v>16314</v>
      </c>
      <c r="O150" s="7">
        <v>7.2032532530322628</v>
      </c>
      <c r="P150" s="3" t="s">
        <v>17</v>
      </c>
    </row>
    <row r="151" spans="1:16" ht="14.25" customHeight="1" thickBot="1" x14ac:dyDescent="0.4">
      <c r="A151" s="3" t="s">
        <v>279</v>
      </c>
      <c r="B151" s="3" t="s">
        <v>19</v>
      </c>
      <c r="C151" s="10" t="s">
        <v>280</v>
      </c>
      <c r="D151" s="3" t="s">
        <v>30</v>
      </c>
      <c r="E151" s="3" t="s">
        <v>70</v>
      </c>
      <c r="F151" t="s">
        <v>555</v>
      </c>
      <c r="G151" s="7">
        <v>16124</v>
      </c>
      <c r="H151" s="7">
        <v>863</v>
      </c>
      <c r="I151" s="7">
        <v>337</v>
      </c>
      <c r="J151" s="7">
        <v>819</v>
      </c>
      <c r="K151" s="8">
        <v>85788</v>
      </c>
      <c r="L151" s="7">
        <v>68625</v>
      </c>
      <c r="M151" s="7">
        <v>16987.004910746811</v>
      </c>
      <c r="N151" s="7">
        <v>18143</v>
      </c>
      <c r="O151" s="7">
        <v>26.437887067395266</v>
      </c>
      <c r="P151" s="3" t="s">
        <v>32</v>
      </c>
    </row>
    <row r="152" spans="1:16" ht="14.25" customHeight="1" thickBot="1" x14ac:dyDescent="0.4">
      <c r="A152" s="3" t="s">
        <v>281</v>
      </c>
      <c r="B152" s="3" t="s">
        <v>13</v>
      </c>
      <c r="C152" s="10" t="s">
        <v>146</v>
      </c>
      <c r="D152" s="3" t="s">
        <v>30</v>
      </c>
      <c r="E152" s="3" t="s">
        <v>85</v>
      </c>
      <c r="F152" t="s">
        <v>546</v>
      </c>
      <c r="G152" s="7">
        <v>18282</v>
      </c>
      <c r="H152" s="7">
        <v>224</v>
      </c>
      <c r="I152" s="7">
        <v>962</v>
      </c>
      <c r="J152" s="7">
        <v>890</v>
      </c>
      <c r="K152" s="8">
        <v>35105</v>
      </c>
      <c r="L152" s="7">
        <v>64089</v>
      </c>
      <c r="M152" s="7">
        <v>18506.015010376195</v>
      </c>
      <c r="N152" s="7">
        <v>20358</v>
      </c>
      <c r="O152" s="7">
        <v>31.765201516640921</v>
      </c>
      <c r="P152" s="3" t="s">
        <v>32</v>
      </c>
    </row>
    <row r="153" spans="1:16" ht="14.25" customHeight="1" thickBot="1" x14ac:dyDescent="0.4">
      <c r="A153" s="3" t="s">
        <v>282</v>
      </c>
      <c r="B153" s="3" t="s">
        <v>13</v>
      </c>
      <c r="C153" s="10">
        <v>45934</v>
      </c>
      <c r="D153" s="3" t="s">
        <v>30</v>
      </c>
      <c r="E153" s="3" t="s">
        <v>169</v>
      </c>
      <c r="F153" t="s">
        <v>556</v>
      </c>
      <c r="G153" s="7">
        <v>12488</v>
      </c>
      <c r="H153" s="7">
        <v>1403</v>
      </c>
      <c r="I153" s="7">
        <v>247</v>
      </c>
      <c r="J153" s="7">
        <v>1350</v>
      </c>
      <c r="K153" s="8">
        <v>28370</v>
      </c>
      <c r="L153" s="7">
        <v>76487</v>
      </c>
      <c r="M153" s="7">
        <v>13891.003229306942</v>
      </c>
      <c r="N153" s="7">
        <v>15488</v>
      </c>
      <c r="O153" s="7">
        <v>20.249192673264737</v>
      </c>
      <c r="P153" s="3" t="s">
        <v>21</v>
      </c>
    </row>
    <row r="154" spans="1:16" ht="14.25" customHeight="1" thickBot="1" x14ac:dyDescent="0.4">
      <c r="A154" s="3" t="s">
        <v>283</v>
      </c>
      <c r="B154" s="3" t="s">
        <v>23</v>
      </c>
      <c r="C154" s="10" t="s">
        <v>284</v>
      </c>
      <c r="D154" s="3" t="s">
        <v>30</v>
      </c>
      <c r="E154" s="3" t="s">
        <v>20</v>
      </c>
      <c r="F154" t="s">
        <v>548</v>
      </c>
      <c r="G154" s="7">
        <v>24574</v>
      </c>
      <c r="H154" s="7">
        <v>909</v>
      </c>
      <c r="I154" s="7">
        <v>280</v>
      </c>
      <c r="J154" s="7">
        <v>2009</v>
      </c>
      <c r="K154" s="8">
        <v>6221</v>
      </c>
      <c r="L154" s="7">
        <v>236910</v>
      </c>
      <c r="M154" s="7">
        <v>25483.001181883417</v>
      </c>
      <c r="N154" s="7">
        <v>27772</v>
      </c>
      <c r="O154" s="7">
        <v>11.722595078299776</v>
      </c>
      <c r="P154" s="3" t="s">
        <v>55</v>
      </c>
    </row>
    <row r="155" spans="1:16" ht="14.25" customHeight="1" thickBot="1" x14ac:dyDescent="0.4">
      <c r="A155" s="3" t="s">
        <v>285</v>
      </c>
      <c r="B155" s="3" t="s">
        <v>13</v>
      </c>
      <c r="C155" s="10" t="s">
        <v>286</v>
      </c>
      <c r="D155" s="3" t="s">
        <v>30</v>
      </c>
      <c r="E155" s="3" t="s">
        <v>48</v>
      </c>
      <c r="F155" t="s">
        <v>553</v>
      </c>
      <c r="G155" s="7">
        <v>7240</v>
      </c>
      <c r="H155" s="7">
        <v>1384</v>
      </c>
      <c r="I155" s="7">
        <v>954</v>
      </c>
      <c r="J155" s="7">
        <v>2335</v>
      </c>
      <c r="K155" s="8">
        <v>6757</v>
      </c>
      <c r="L155" s="7">
        <v>150448</v>
      </c>
      <c r="M155" s="7">
        <v>8624.0063410613639</v>
      </c>
      <c r="N155" s="7">
        <v>11913</v>
      </c>
      <c r="O155" s="7">
        <v>7.9183505264277363</v>
      </c>
      <c r="P155" s="3" t="s">
        <v>27</v>
      </c>
    </row>
    <row r="156" spans="1:16" ht="14.25" customHeight="1" thickBot="1" x14ac:dyDescent="0.4">
      <c r="A156" s="3" t="s">
        <v>287</v>
      </c>
      <c r="B156" s="3" t="s">
        <v>23</v>
      </c>
      <c r="C156" s="10" t="s">
        <v>288</v>
      </c>
      <c r="D156" s="3" t="s">
        <v>15</v>
      </c>
      <c r="E156" s="3" t="s">
        <v>16</v>
      </c>
      <c r="F156" t="s">
        <v>547</v>
      </c>
      <c r="G156" s="7">
        <v>12453</v>
      </c>
      <c r="H156" s="7">
        <v>376</v>
      </c>
      <c r="I156" s="7">
        <v>320</v>
      </c>
      <c r="J156" s="7">
        <v>2546</v>
      </c>
      <c r="K156" s="8">
        <v>22617</v>
      </c>
      <c r="L156" s="7">
        <v>90138</v>
      </c>
      <c r="M156" s="7">
        <v>12829.003550112051</v>
      </c>
      <c r="N156" s="7">
        <v>15695</v>
      </c>
      <c r="O156" s="7">
        <v>17.4121901972531</v>
      </c>
      <c r="P156" s="3" t="s">
        <v>27</v>
      </c>
    </row>
    <row r="157" spans="1:16" ht="14.25" customHeight="1" thickBot="1" x14ac:dyDescent="0.4">
      <c r="A157" s="3" t="s">
        <v>289</v>
      </c>
      <c r="B157" s="3" t="s">
        <v>46</v>
      </c>
      <c r="C157" s="10" t="s">
        <v>290</v>
      </c>
      <c r="D157" s="3" t="s">
        <v>25</v>
      </c>
      <c r="E157" s="3" t="s">
        <v>39</v>
      </c>
      <c r="F157" t="s">
        <v>551</v>
      </c>
      <c r="G157" s="7">
        <v>12478</v>
      </c>
      <c r="H157" s="7">
        <v>484</v>
      </c>
      <c r="I157" s="7">
        <v>332</v>
      </c>
      <c r="J157" s="7">
        <v>2734</v>
      </c>
      <c r="K157" s="8">
        <v>43338</v>
      </c>
      <c r="L157" s="7">
        <v>213895</v>
      </c>
      <c r="M157" s="7">
        <v>12962.001552163445</v>
      </c>
      <c r="N157" s="7">
        <v>16028</v>
      </c>
      <c r="O157" s="7">
        <v>7.4933962925734594</v>
      </c>
      <c r="P157" s="3" t="s">
        <v>32</v>
      </c>
    </row>
    <row r="158" spans="1:16" ht="14.25" customHeight="1" thickBot="1" x14ac:dyDescent="0.4">
      <c r="A158" s="3" t="s">
        <v>291</v>
      </c>
      <c r="B158" s="3" t="s">
        <v>13</v>
      </c>
      <c r="C158" s="10" t="s">
        <v>292</v>
      </c>
      <c r="D158" s="3" t="s">
        <v>30</v>
      </c>
      <c r="E158" s="3" t="s">
        <v>70</v>
      </c>
      <c r="F158" t="s">
        <v>555</v>
      </c>
      <c r="G158" s="7">
        <v>24877</v>
      </c>
      <c r="H158" s="7">
        <v>262</v>
      </c>
      <c r="I158" s="7">
        <v>513</v>
      </c>
      <c r="J158" s="7">
        <v>648</v>
      </c>
      <c r="K158" s="8">
        <v>47544</v>
      </c>
      <c r="L158" s="7">
        <v>208280</v>
      </c>
      <c r="M158" s="7">
        <v>25139.002463030534</v>
      </c>
      <c r="N158" s="7">
        <v>26300</v>
      </c>
      <c r="O158" s="7">
        <v>12.627232571538313</v>
      </c>
      <c r="P158" s="3" t="s">
        <v>27</v>
      </c>
    </row>
    <row r="159" spans="1:16" ht="14.25" customHeight="1" thickBot="1" x14ac:dyDescent="0.4">
      <c r="A159" s="3" t="s">
        <v>293</v>
      </c>
      <c r="B159" s="3" t="s">
        <v>46</v>
      </c>
      <c r="C159" s="10" t="s">
        <v>294</v>
      </c>
      <c r="D159" s="3" t="s">
        <v>38</v>
      </c>
      <c r="E159" s="3" t="s">
        <v>20</v>
      </c>
      <c r="F159" t="s">
        <v>548</v>
      </c>
      <c r="G159" s="7">
        <v>14394</v>
      </c>
      <c r="H159" s="7">
        <v>1202</v>
      </c>
      <c r="I159" s="7">
        <v>188</v>
      </c>
      <c r="J159" s="7">
        <v>1259</v>
      </c>
      <c r="K159" s="8">
        <v>21925</v>
      </c>
      <c r="L159" s="7">
        <v>94061</v>
      </c>
      <c r="M159" s="7">
        <v>15596.00199870297</v>
      </c>
      <c r="N159" s="7">
        <v>17043</v>
      </c>
      <c r="O159" s="7">
        <v>18.119092929056677</v>
      </c>
      <c r="P159" s="3" t="s">
        <v>32</v>
      </c>
    </row>
    <row r="160" spans="1:16" ht="14.25" customHeight="1" thickBot="1" x14ac:dyDescent="0.4">
      <c r="A160" s="3" t="s">
        <v>295</v>
      </c>
      <c r="B160" s="3" t="s">
        <v>23</v>
      </c>
      <c r="C160" s="10">
        <v>45935</v>
      </c>
      <c r="D160" s="3" t="s">
        <v>25</v>
      </c>
      <c r="E160" s="3" t="s">
        <v>39</v>
      </c>
      <c r="F160" t="s">
        <v>551</v>
      </c>
      <c r="G160" s="7">
        <v>21262</v>
      </c>
      <c r="H160" s="7">
        <v>861</v>
      </c>
      <c r="I160" s="7">
        <v>676</v>
      </c>
      <c r="J160" s="7">
        <v>2263</v>
      </c>
      <c r="K160" s="8">
        <v>12085</v>
      </c>
      <c r="L160" s="7">
        <v>201731</v>
      </c>
      <c r="M160" s="7">
        <v>22123.003350997122</v>
      </c>
      <c r="N160" s="7">
        <v>25062</v>
      </c>
      <c r="O160" s="7">
        <v>12.423474825386281</v>
      </c>
      <c r="P160" s="3" t="s">
        <v>21</v>
      </c>
    </row>
    <row r="161" spans="1:16" ht="14.25" customHeight="1" thickBot="1" x14ac:dyDescent="0.4">
      <c r="A161" s="3" t="s">
        <v>296</v>
      </c>
      <c r="B161" s="3" t="s">
        <v>19</v>
      </c>
      <c r="C161" s="10" t="s">
        <v>297</v>
      </c>
      <c r="D161" s="3" t="s">
        <v>25</v>
      </c>
      <c r="E161" s="3" t="s">
        <v>70</v>
      </c>
      <c r="F161" t="s">
        <v>555</v>
      </c>
      <c r="G161" s="7">
        <v>22527</v>
      </c>
      <c r="H161" s="7">
        <v>865</v>
      </c>
      <c r="I161" s="7">
        <v>646</v>
      </c>
      <c r="J161" s="7">
        <v>992</v>
      </c>
      <c r="K161" s="8">
        <v>18654</v>
      </c>
      <c r="L161" s="7">
        <v>141376</v>
      </c>
      <c r="M161" s="7">
        <v>23392.004569375284</v>
      </c>
      <c r="N161" s="7">
        <v>25030</v>
      </c>
      <c r="O161" s="7">
        <v>17.70456088727931</v>
      </c>
      <c r="P161" s="3" t="s">
        <v>55</v>
      </c>
    </row>
    <row r="162" spans="1:16" ht="14.25" customHeight="1" thickBot="1" x14ac:dyDescent="0.4">
      <c r="A162" s="3" t="s">
        <v>298</v>
      </c>
      <c r="B162" s="3" t="s">
        <v>13</v>
      </c>
      <c r="C162" s="10">
        <v>45936</v>
      </c>
      <c r="D162" s="3" t="s">
        <v>30</v>
      </c>
      <c r="E162" s="3" t="s">
        <v>26</v>
      </c>
      <c r="F162" t="s">
        <v>549</v>
      </c>
      <c r="G162" s="7">
        <v>22028</v>
      </c>
      <c r="H162" s="7">
        <v>355</v>
      </c>
      <c r="I162" s="7">
        <v>665</v>
      </c>
      <c r="J162" s="7">
        <v>1859</v>
      </c>
      <c r="K162" s="8">
        <v>50565</v>
      </c>
      <c r="L162" s="7">
        <v>202962</v>
      </c>
      <c r="M162" s="7">
        <v>22383.0032764754</v>
      </c>
      <c r="N162" s="7">
        <v>24907</v>
      </c>
      <c r="O162" s="7">
        <v>12.271755303948522</v>
      </c>
      <c r="P162" s="3" t="s">
        <v>21</v>
      </c>
    </row>
    <row r="163" spans="1:16" ht="14.25" customHeight="1" thickBot="1" x14ac:dyDescent="0.4">
      <c r="A163" s="3" t="s">
        <v>299</v>
      </c>
      <c r="B163" s="3" t="s">
        <v>23</v>
      </c>
      <c r="C163" s="10" t="s">
        <v>300</v>
      </c>
      <c r="D163" s="3" t="s">
        <v>15</v>
      </c>
      <c r="E163" s="3" t="s">
        <v>39</v>
      </c>
      <c r="F163" t="s">
        <v>551</v>
      </c>
      <c r="G163" s="7">
        <v>6432</v>
      </c>
      <c r="H163" s="7">
        <v>1272</v>
      </c>
      <c r="I163" s="7">
        <v>498</v>
      </c>
      <c r="J163" s="7">
        <v>677</v>
      </c>
      <c r="K163" s="8">
        <v>47305</v>
      </c>
      <c r="L163" s="7">
        <v>119134</v>
      </c>
      <c r="M163" s="7">
        <v>7704.0041801668713</v>
      </c>
      <c r="N163" s="7">
        <v>8879</v>
      </c>
      <c r="O163" s="7">
        <v>7.4529521379287189</v>
      </c>
      <c r="P163" s="3" t="s">
        <v>17</v>
      </c>
    </row>
    <row r="164" spans="1:16" ht="14.25" customHeight="1" thickBot="1" x14ac:dyDescent="0.4">
      <c r="A164" s="3" t="s">
        <v>301</v>
      </c>
      <c r="B164" s="3" t="s">
        <v>19</v>
      </c>
      <c r="C164" s="10" t="s">
        <v>302</v>
      </c>
      <c r="D164" s="3" t="s">
        <v>30</v>
      </c>
      <c r="E164" s="3" t="s">
        <v>16</v>
      </c>
      <c r="F164" t="s">
        <v>547</v>
      </c>
      <c r="G164" s="7">
        <v>15568</v>
      </c>
      <c r="H164" s="7">
        <v>1166</v>
      </c>
      <c r="I164" s="7">
        <v>546</v>
      </c>
      <c r="J164" s="7">
        <v>826</v>
      </c>
      <c r="K164" s="8">
        <v>21836</v>
      </c>
      <c r="L164" s="7">
        <v>87055</v>
      </c>
      <c r="M164" s="7">
        <v>16734.006271897077</v>
      </c>
      <c r="N164" s="7">
        <v>18106</v>
      </c>
      <c r="O164" s="7">
        <v>20.798345873298491</v>
      </c>
      <c r="P164" s="3" t="s">
        <v>17</v>
      </c>
    </row>
    <row r="165" spans="1:16" ht="14.25" customHeight="1" thickBot="1" x14ac:dyDescent="0.4">
      <c r="A165" s="3" t="s">
        <v>303</v>
      </c>
      <c r="B165" s="3" t="s">
        <v>19</v>
      </c>
      <c r="C165" s="10" t="s">
        <v>72</v>
      </c>
      <c r="D165" s="3" t="s">
        <v>15</v>
      </c>
      <c r="E165" s="3" t="s">
        <v>20</v>
      </c>
      <c r="F165" t="s">
        <v>548</v>
      </c>
      <c r="G165" s="7">
        <v>16178</v>
      </c>
      <c r="H165" s="7">
        <v>1048</v>
      </c>
      <c r="I165" s="7">
        <v>871</v>
      </c>
      <c r="J165" s="7">
        <v>2553</v>
      </c>
      <c r="K165" s="8">
        <v>39025</v>
      </c>
      <c r="L165" s="7">
        <v>59508</v>
      </c>
      <c r="M165" s="7">
        <v>17226.014636687505</v>
      </c>
      <c r="N165" s="7">
        <v>20650</v>
      </c>
      <c r="O165" s="7">
        <v>34.70121664314042</v>
      </c>
      <c r="P165" s="3" t="s">
        <v>17</v>
      </c>
    </row>
    <row r="166" spans="1:16" ht="14.25" customHeight="1" thickBot="1" x14ac:dyDescent="0.4">
      <c r="A166" s="3" t="s">
        <v>304</v>
      </c>
      <c r="B166" s="3" t="s">
        <v>46</v>
      </c>
      <c r="C166" s="10">
        <v>45937</v>
      </c>
      <c r="D166" s="3" t="s">
        <v>38</v>
      </c>
      <c r="E166" s="3" t="s">
        <v>42</v>
      </c>
      <c r="F166" t="s">
        <v>552</v>
      </c>
      <c r="G166" s="7">
        <v>19660</v>
      </c>
      <c r="H166" s="7">
        <v>1307</v>
      </c>
      <c r="I166" s="7">
        <v>310</v>
      </c>
      <c r="J166" s="7">
        <v>2802</v>
      </c>
      <c r="K166" s="8">
        <v>22171</v>
      </c>
      <c r="L166" s="7">
        <v>213359</v>
      </c>
      <c r="M166" s="7">
        <v>20967.001452950193</v>
      </c>
      <c r="N166" s="7">
        <v>24079</v>
      </c>
      <c r="O166" s="7">
        <v>11.285673442413961</v>
      </c>
      <c r="P166" s="3" t="s">
        <v>21</v>
      </c>
    </row>
    <row r="167" spans="1:16" ht="14.25" customHeight="1" thickBot="1" x14ac:dyDescent="0.4">
      <c r="A167" s="3" t="s">
        <v>305</v>
      </c>
      <c r="B167" s="3" t="s">
        <v>23</v>
      </c>
      <c r="C167" s="10" t="s">
        <v>306</v>
      </c>
      <c r="D167" s="3" t="s">
        <v>25</v>
      </c>
      <c r="E167" s="3" t="s">
        <v>62</v>
      </c>
      <c r="F167" t="s">
        <v>554</v>
      </c>
      <c r="G167" s="7">
        <v>24195</v>
      </c>
      <c r="H167" s="7">
        <v>888</v>
      </c>
      <c r="I167" s="7">
        <v>165</v>
      </c>
      <c r="J167" s="7">
        <v>1559</v>
      </c>
      <c r="K167" s="8">
        <v>11596</v>
      </c>
      <c r="L167" s="7">
        <v>249988</v>
      </c>
      <c r="M167" s="7">
        <v>25083.000660031681</v>
      </c>
      <c r="N167" s="7">
        <v>26807</v>
      </c>
      <c r="O167" s="7">
        <v>10.723314719106517</v>
      </c>
      <c r="P167" s="3" t="s">
        <v>27</v>
      </c>
    </row>
    <row r="168" spans="1:16" ht="14.25" customHeight="1" thickBot="1" x14ac:dyDescent="0.4">
      <c r="A168" s="3" t="s">
        <v>307</v>
      </c>
      <c r="B168" s="3" t="s">
        <v>19</v>
      </c>
      <c r="C168" s="10" t="s">
        <v>259</v>
      </c>
      <c r="D168" s="3" t="s">
        <v>38</v>
      </c>
      <c r="E168" s="3" t="s">
        <v>62</v>
      </c>
      <c r="F168" t="s">
        <v>554</v>
      </c>
      <c r="G168" s="7">
        <v>2302</v>
      </c>
      <c r="H168" s="7">
        <v>347</v>
      </c>
      <c r="I168" s="7">
        <v>642</v>
      </c>
      <c r="J168" s="7">
        <v>2175</v>
      </c>
      <c r="K168" s="8">
        <v>56378</v>
      </c>
      <c r="L168" s="7">
        <v>198056</v>
      </c>
      <c r="M168" s="7">
        <v>2649.0032415074525</v>
      </c>
      <c r="N168" s="7">
        <v>5466</v>
      </c>
      <c r="O168" s="7">
        <v>2.7598255038978876</v>
      </c>
      <c r="P168" s="3" t="s">
        <v>55</v>
      </c>
    </row>
    <row r="169" spans="1:16" ht="14.25" customHeight="1" thickBot="1" x14ac:dyDescent="0.4">
      <c r="A169" s="3" t="s">
        <v>308</v>
      </c>
      <c r="B169" s="3" t="s">
        <v>13</v>
      </c>
      <c r="C169" s="10" t="s">
        <v>309</v>
      </c>
      <c r="D169" s="3" t="s">
        <v>15</v>
      </c>
      <c r="E169" s="3" t="s">
        <v>20</v>
      </c>
      <c r="F169" t="s">
        <v>548</v>
      </c>
      <c r="G169" s="7">
        <v>19022</v>
      </c>
      <c r="H169" s="7">
        <v>541</v>
      </c>
      <c r="I169" s="7">
        <v>575</v>
      </c>
      <c r="J169" s="7">
        <v>2063</v>
      </c>
      <c r="K169" s="8">
        <v>42743</v>
      </c>
      <c r="L169" s="7">
        <v>150169</v>
      </c>
      <c r="M169" s="7">
        <v>19563.003829019304</v>
      </c>
      <c r="N169" s="7">
        <v>22201</v>
      </c>
      <c r="O169" s="7">
        <v>14.784010015382668</v>
      </c>
      <c r="P169" s="3" t="s">
        <v>17</v>
      </c>
    </row>
    <row r="170" spans="1:16" ht="14.25" customHeight="1" thickBot="1" x14ac:dyDescent="0.4">
      <c r="A170" s="3" t="s">
        <v>310</v>
      </c>
      <c r="B170" s="3" t="s">
        <v>13</v>
      </c>
      <c r="C170" s="10" t="s">
        <v>311</v>
      </c>
      <c r="D170" s="3" t="s">
        <v>15</v>
      </c>
      <c r="E170" s="3" t="s">
        <v>39</v>
      </c>
      <c r="F170" t="s">
        <v>551</v>
      </c>
      <c r="G170" s="7">
        <v>2055</v>
      </c>
      <c r="H170" s="7">
        <v>675</v>
      </c>
      <c r="I170" s="7">
        <v>257</v>
      </c>
      <c r="J170" s="7">
        <v>820</v>
      </c>
      <c r="K170" s="8">
        <v>33534</v>
      </c>
      <c r="L170" s="7">
        <v>48125</v>
      </c>
      <c r="M170" s="7">
        <v>2730.0053402597405</v>
      </c>
      <c r="N170" s="7">
        <v>3807</v>
      </c>
      <c r="O170" s="7">
        <v>7.9106493506493498</v>
      </c>
      <c r="P170" s="3" t="s">
        <v>17</v>
      </c>
    </row>
    <row r="171" spans="1:16" ht="14.25" customHeight="1" thickBot="1" x14ac:dyDescent="0.4">
      <c r="A171" s="3" t="s">
        <v>312</v>
      </c>
      <c r="B171" s="3" t="s">
        <v>46</v>
      </c>
      <c r="C171" s="10" t="s">
        <v>313</v>
      </c>
      <c r="D171" s="3" t="s">
        <v>38</v>
      </c>
      <c r="E171" s="3" t="s">
        <v>70</v>
      </c>
      <c r="F171" t="s">
        <v>555</v>
      </c>
      <c r="G171" s="7">
        <v>15013</v>
      </c>
      <c r="H171" s="7">
        <v>1286</v>
      </c>
      <c r="I171" s="7">
        <v>599</v>
      </c>
      <c r="J171" s="7">
        <v>2001</v>
      </c>
      <c r="K171" s="8">
        <v>67839</v>
      </c>
      <c r="L171" s="7">
        <v>76059</v>
      </c>
      <c r="M171" s="7">
        <v>16299.0078754651</v>
      </c>
      <c r="N171" s="7">
        <v>18899</v>
      </c>
      <c r="O171" s="7">
        <v>24.847815511642278</v>
      </c>
      <c r="P171" s="3" t="s">
        <v>17</v>
      </c>
    </row>
    <row r="172" spans="1:16" ht="14.25" customHeight="1" thickBot="1" x14ac:dyDescent="0.4">
      <c r="A172" s="3" t="s">
        <v>314</v>
      </c>
      <c r="B172" s="3" t="s">
        <v>19</v>
      </c>
      <c r="C172" s="10" t="s">
        <v>315</v>
      </c>
      <c r="D172" s="3" t="s">
        <v>15</v>
      </c>
      <c r="E172" s="3" t="s">
        <v>16</v>
      </c>
      <c r="F172" t="s">
        <v>547</v>
      </c>
      <c r="G172" s="7">
        <v>10717</v>
      </c>
      <c r="H172" s="7">
        <v>760</v>
      </c>
      <c r="I172" s="7">
        <v>460</v>
      </c>
      <c r="J172" s="7">
        <v>1316</v>
      </c>
      <c r="K172" s="8">
        <v>18164</v>
      </c>
      <c r="L172" s="7">
        <v>240641</v>
      </c>
      <c r="M172" s="7">
        <v>11477.001911561205</v>
      </c>
      <c r="N172" s="7">
        <v>13253</v>
      </c>
      <c r="O172" s="7">
        <v>5.5073740551277632</v>
      </c>
      <c r="P172" s="3" t="s">
        <v>55</v>
      </c>
    </row>
    <row r="173" spans="1:16" ht="14.25" customHeight="1" thickBot="1" x14ac:dyDescent="0.4">
      <c r="A173" s="3" t="s">
        <v>316</v>
      </c>
      <c r="B173" s="3" t="s">
        <v>23</v>
      </c>
      <c r="C173" s="10" t="s">
        <v>317</v>
      </c>
      <c r="D173" s="3" t="s">
        <v>38</v>
      </c>
      <c r="E173" s="3" t="s">
        <v>169</v>
      </c>
      <c r="F173" t="s">
        <v>556</v>
      </c>
      <c r="G173" s="7">
        <v>10150</v>
      </c>
      <c r="H173" s="7">
        <v>526</v>
      </c>
      <c r="I173" s="7">
        <v>888</v>
      </c>
      <c r="J173" s="7">
        <v>1313</v>
      </c>
      <c r="K173" s="8">
        <v>51605</v>
      </c>
      <c r="L173" s="7">
        <v>143409</v>
      </c>
      <c r="M173" s="7">
        <v>10676.006192079994</v>
      </c>
      <c r="N173" s="7">
        <v>12877</v>
      </c>
      <c r="O173" s="7">
        <v>8.9792132990258633</v>
      </c>
      <c r="P173" s="3" t="s">
        <v>17</v>
      </c>
    </row>
    <row r="174" spans="1:16" ht="14.25" customHeight="1" thickBot="1" x14ac:dyDescent="0.4">
      <c r="A174" s="3" t="s">
        <v>318</v>
      </c>
      <c r="B174" s="3" t="s">
        <v>13</v>
      </c>
      <c r="C174" s="10" t="s">
        <v>319</v>
      </c>
      <c r="D174" s="3" t="s">
        <v>25</v>
      </c>
      <c r="E174" s="3" t="s">
        <v>62</v>
      </c>
      <c r="F174" t="s">
        <v>554</v>
      </c>
      <c r="G174" s="7">
        <v>4125</v>
      </c>
      <c r="H174" s="7">
        <v>1364</v>
      </c>
      <c r="I174" s="7">
        <v>319</v>
      </c>
      <c r="J174" s="7">
        <v>2848</v>
      </c>
      <c r="K174" s="8">
        <v>15379</v>
      </c>
      <c r="L174" s="7">
        <v>188159</v>
      </c>
      <c r="M174" s="7">
        <v>5489.0016953746563</v>
      </c>
      <c r="N174" s="7">
        <v>8656</v>
      </c>
      <c r="O174" s="7">
        <v>4.6003645852709676</v>
      </c>
      <c r="P174" s="3" t="s">
        <v>55</v>
      </c>
    </row>
    <row r="175" spans="1:16" ht="14.25" customHeight="1" thickBot="1" x14ac:dyDescent="0.4">
      <c r="A175" s="3" t="s">
        <v>320</v>
      </c>
      <c r="B175" s="3" t="s">
        <v>19</v>
      </c>
      <c r="C175" s="10" t="s">
        <v>134</v>
      </c>
      <c r="D175" s="3" t="s">
        <v>38</v>
      </c>
      <c r="E175" s="3" t="s">
        <v>16</v>
      </c>
      <c r="F175" t="s">
        <v>547</v>
      </c>
      <c r="G175" s="7">
        <v>13479</v>
      </c>
      <c r="H175" s="7">
        <v>1189</v>
      </c>
      <c r="I175" s="7">
        <v>695</v>
      </c>
      <c r="J175" s="7">
        <v>416</v>
      </c>
      <c r="K175" s="8">
        <v>30229</v>
      </c>
      <c r="L175" s="7">
        <v>45704</v>
      </c>
      <c r="M175" s="7">
        <v>14668.015206546474</v>
      </c>
      <c r="N175" s="7">
        <v>15779</v>
      </c>
      <c r="O175" s="7">
        <v>34.524330474356731</v>
      </c>
      <c r="P175" s="3" t="s">
        <v>17</v>
      </c>
    </row>
    <row r="176" spans="1:16" ht="14.25" customHeight="1" thickBot="1" x14ac:dyDescent="0.4">
      <c r="A176" s="3" t="s">
        <v>321</v>
      </c>
      <c r="B176" s="3" t="s">
        <v>19</v>
      </c>
      <c r="C176" s="10">
        <v>45938</v>
      </c>
      <c r="D176" s="3" t="s">
        <v>25</v>
      </c>
      <c r="E176" s="3" t="s">
        <v>62</v>
      </c>
      <c r="F176" t="s">
        <v>554</v>
      </c>
      <c r="G176" s="7">
        <v>17745</v>
      </c>
      <c r="H176" s="7">
        <v>414</v>
      </c>
      <c r="I176" s="7">
        <v>563</v>
      </c>
      <c r="J176" s="7">
        <v>2733</v>
      </c>
      <c r="K176" s="8">
        <v>995</v>
      </c>
      <c r="L176" s="7">
        <v>231648</v>
      </c>
      <c r="M176" s="7">
        <v>18159.00243041166</v>
      </c>
      <c r="N176" s="7">
        <v>21455</v>
      </c>
      <c r="O176" s="7">
        <v>9.2618973615140217</v>
      </c>
      <c r="P176" s="3" t="s">
        <v>21</v>
      </c>
    </row>
    <row r="177" spans="1:16" ht="14.25" customHeight="1" thickBot="1" x14ac:dyDescent="0.4">
      <c r="A177" s="3" t="s">
        <v>322</v>
      </c>
      <c r="B177" s="3" t="s">
        <v>46</v>
      </c>
      <c r="C177" s="10">
        <v>45939</v>
      </c>
      <c r="D177" s="3" t="s">
        <v>38</v>
      </c>
      <c r="E177" s="3" t="s">
        <v>26</v>
      </c>
      <c r="F177" t="s">
        <v>549</v>
      </c>
      <c r="G177" s="7">
        <v>18748</v>
      </c>
      <c r="H177" s="7">
        <v>634</v>
      </c>
      <c r="I177" s="7">
        <v>400</v>
      </c>
      <c r="J177" s="7">
        <v>1667</v>
      </c>
      <c r="K177" s="8">
        <v>75813</v>
      </c>
      <c r="L177" s="7">
        <v>244456</v>
      </c>
      <c r="M177" s="7">
        <v>19382.001636286284</v>
      </c>
      <c r="N177" s="7">
        <v>21449</v>
      </c>
      <c r="O177" s="7">
        <v>8.7741761298556789</v>
      </c>
      <c r="P177" s="3" t="s">
        <v>21</v>
      </c>
    </row>
    <row r="178" spans="1:16" ht="14.25" customHeight="1" thickBot="1" x14ac:dyDescent="0.4">
      <c r="A178" s="3" t="s">
        <v>323</v>
      </c>
      <c r="B178" s="3" t="s">
        <v>13</v>
      </c>
      <c r="C178" s="10" t="s">
        <v>324</v>
      </c>
      <c r="D178" s="3" t="s">
        <v>15</v>
      </c>
      <c r="E178" s="3" t="s">
        <v>70</v>
      </c>
      <c r="F178" t="s">
        <v>555</v>
      </c>
      <c r="G178" s="7">
        <v>8809</v>
      </c>
      <c r="H178" s="7">
        <v>1151</v>
      </c>
      <c r="I178" s="7">
        <v>908</v>
      </c>
      <c r="J178" s="7">
        <v>883</v>
      </c>
      <c r="K178" s="8">
        <v>42921</v>
      </c>
      <c r="L178" s="7">
        <v>151279</v>
      </c>
      <c r="M178" s="7">
        <v>9960.006002154958</v>
      </c>
      <c r="N178" s="7">
        <v>11751</v>
      </c>
      <c r="O178" s="7">
        <v>7.7677668413990038</v>
      </c>
      <c r="P178" s="3" t="s">
        <v>55</v>
      </c>
    </row>
    <row r="179" spans="1:16" ht="14.25" customHeight="1" thickBot="1" x14ac:dyDescent="0.4">
      <c r="A179" s="3" t="s">
        <v>325</v>
      </c>
      <c r="B179" s="3" t="s">
        <v>13</v>
      </c>
      <c r="C179" s="10">
        <v>45940</v>
      </c>
      <c r="D179" s="3" t="s">
        <v>38</v>
      </c>
      <c r="E179" s="3" t="s">
        <v>26</v>
      </c>
      <c r="F179" t="s">
        <v>549</v>
      </c>
      <c r="G179" s="7">
        <v>6621</v>
      </c>
      <c r="H179" s="7">
        <v>922</v>
      </c>
      <c r="I179" s="7">
        <v>930</v>
      </c>
      <c r="J179" s="7">
        <v>694</v>
      </c>
      <c r="K179" s="8">
        <v>839</v>
      </c>
      <c r="L179" s="7">
        <v>243532</v>
      </c>
      <c r="M179" s="7">
        <v>7543.0038187999935</v>
      </c>
      <c r="N179" s="7">
        <v>9167</v>
      </c>
      <c r="O179" s="7">
        <v>3.7641870472874199</v>
      </c>
      <c r="P179" s="3" t="s">
        <v>21</v>
      </c>
    </row>
    <row r="180" spans="1:16" ht="14.25" customHeight="1" thickBot="1" x14ac:dyDescent="0.4">
      <c r="A180" s="3" t="s">
        <v>326</v>
      </c>
      <c r="B180" s="3" t="s">
        <v>23</v>
      </c>
      <c r="C180" s="10" t="s">
        <v>266</v>
      </c>
      <c r="D180" s="3" t="s">
        <v>15</v>
      </c>
      <c r="E180" s="3" t="s">
        <v>62</v>
      </c>
      <c r="F180" t="s">
        <v>554</v>
      </c>
      <c r="G180" s="7">
        <v>17034</v>
      </c>
      <c r="H180" s="7">
        <v>231</v>
      </c>
      <c r="I180" s="7">
        <v>290</v>
      </c>
      <c r="J180" s="7">
        <v>1387</v>
      </c>
      <c r="K180" s="8">
        <v>63550</v>
      </c>
      <c r="L180" s="7">
        <v>198280</v>
      </c>
      <c r="M180" s="7">
        <v>17265.001462578173</v>
      </c>
      <c r="N180" s="7">
        <v>18942</v>
      </c>
      <c r="O180" s="7">
        <v>9.5531571515029245</v>
      </c>
      <c r="P180" s="3" t="s">
        <v>55</v>
      </c>
    </row>
    <row r="181" spans="1:16" ht="14.25" customHeight="1" thickBot="1" x14ac:dyDescent="0.4">
      <c r="A181" s="3" t="s">
        <v>327</v>
      </c>
      <c r="B181" s="3" t="s">
        <v>13</v>
      </c>
      <c r="C181" s="10">
        <v>45941</v>
      </c>
      <c r="D181" s="3" t="s">
        <v>38</v>
      </c>
      <c r="E181" s="3" t="s">
        <v>42</v>
      </c>
      <c r="F181" t="s">
        <v>552</v>
      </c>
      <c r="G181" s="7">
        <v>15623</v>
      </c>
      <c r="H181" s="7">
        <v>869</v>
      </c>
      <c r="I181" s="7">
        <v>423</v>
      </c>
      <c r="J181" s="7">
        <v>371</v>
      </c>
      <c r="K181" s="8">
        <v>47579</v>
      </c>
      <c r="L181" s="7">
        <v>158516</v>
      </c>
      <c r="M181" s="7">
        <v>16492.002668500339</v>
      </c>
      <c r="N181" s="7">
        <v>17286</v>
      </c>
      <c r="O181" s="7">
        <v>10.904892881475687</v>
      </c>
      <c r="P181" s="3" t="s">
        <v>21</v>
      </c>
    </row>
    <row r="182" spans="1:16" ht="14.25" customHeight="1" thickBot="1" x14ac:dyDescent="0.4">
      <c r="A182" s="3" t="s">
        <v>328</v>
      </c>
      <c r="B182" s="3" t="s">
        <v>23</v>
      </c>
      <c r="C182" s="10">
        <v>45942</v>
      </c>
      <c r="D182" s="3" t="s">
        <v>38</v>
      </c>
      <c r="E182" s="3" t="s">
        <v>42</v>
      </c>
      <c r="F182" t="s">
        <v>552</v>
      </c>
      <c r="G182" s="7">
        <v>7126</v>
      </c>
      <c r="H182" s="7">
        <v>484</v>
      </c>
      <c r="I182" s="7">
        <v>565</v>
      </c>
      <c r="J182" s="7">
        <v>573</v>
      </c>
      <c r="K182" s="8">
        <v>7389</v>
      </c>
      <c r="L182" s="7">
        <v>237096</v>
      </c>
      <c r="M182" s="7">
        <v>7610.0023830009786</v>
      </c>
      <c r="N182" s="7">
        <v>8748</v>
      </c>
      <c r="O182" s="7">
        <v>3.6896447008806557</v>
      </c>
      <c r="P182" s="3" t="s">
        <v>21</v>
      </c>
    </row>
    <row r="183" spans="1:16" ht="14.25" customHeight="1" thickBot="1" x14ac:dyDescent="0.4">
      <c r="A183" s="3" t="s">
        <v>329</v>
      </c>
      <c r="B183" s="3" t="s">
        <v>13</v>
      </c>
      <c r="C183" s="10" t="s">
        <v>91</v>
      </c>
      <c r="D183" s="3" t="s">
        <v>30</v>
      </c>
      <c r="E183" s="3" t="s">
        <v>26</v>
      </c>
      <c r="F183" t="s">
        <v>549</v>
      </c>
      <c r="G183" s="7">
        <v>7122</v>
      </c>
      <c r="H183" s="7">
        <v>628</v>
      </c>
      <c r="I183" s="7">
        <v>757</v>
      </c>
      <c r="J183" s="7">
        <v>2313</v>
      </c>
      <c r="K183" s="8">
        <v>50924</v>
      </c>
      <c r="L183" s="7">
        <v>210954</v>
      </c>
      <c r="M183" s="7">
        <v>7750.0035884600438</v>
      </c>
      <c r="N183" s="7">
        <v>10820</v>
      </c>
      <c r="O183" s="7">
        <v>5.1290802734245382</v>
      </c>
      <c r="P183" s="3" t="s">
        <v>55</v>
      </c>
    </row>
    <row r="184" spans="1:16" ht="14.25" customHeight="1" thickBot="1" x14ac:dyDescent="0.4">
      <c r="A184" s="3" t="s">
        <v>330</v>
      </c>
      <c r="B184" s="3" t="s">
        <v>46</v>
      </c>
      <c r="C184" s="10" t="s">
        <v>331</v>
      </c>
      <c r="D184" s="3" t="s">
        <v>15</v>
      </c>
      <c r="E184" s="3" t="s">
        <v>42</v>
      </c>
      <c r="F184" t="s">
        <v>552</v>
      </c>
      <c r="G184" s="7">
        <v>20030</v>
      </c>
      <c r="H184" s="7">
        <v>485</v>
      </c>
      <c r="I184" s="7">
        <v>888</v>
      </c>
      <c r="J184" s="7">
        <v>1643</v>
      </c>
      <c r="K184" s="8">
        <v>4322</v>
      </c>
      <c r="L184" s="7">
        <v>196995</v>
      </c>
      <c r="M184" s="7">
        <v>20515.004507728623</v>
      </c>
      <c r="N184" s="7">
        <v>23046</v>
      </c>
      <c r="O184" s="7">
        <v>11.698774080560421</v>
      </c>
      <c r="P184" s="3" t="s">
        <v>27</v>
      </c>
    </row>
    <row r="185" spans="1:16" ht="14.25" customHeight="1" thickBot="1" x14ac:dyDescent="0.4">
      <c r="A185" s="3" t="s">
        <v>332</v>
      </c>
      <c r="B185" s="3" t="s">
        <v>13</v>
      </c>
      <c r="C185" s="10">
        <v>45943</v>
      </c>
      <c r="D185" s="3" t="s">
        <v>30</v>
      </c>
      <c r="E185" s="3" t="s">
        <v>62</v>
      </c>
      <c r="F185" t="s">
        <v>554</v>
      </c>
      <c r="G185" s="7">
        <v>19302</v>
      </c>
      <c r="H185" s="7">
        <v>1367</v>
      </c>
      <c r="I185" s="7">
        <v>188</v>
      </c>
      <c r="J185" s="7">
        <v>637</v>
      </c>
      <c r="K185" s="8">
        <v>31404</v>
      </c>
      <c r="L185" s="7">
        <v>154044</v>
      </c>
      <c r="M185" s="7">
        <v>20669.001220430528</v>
      </c>
      <c r="N185" s="7">
        <v>21494</v>
      </c>
      <c r="O185" s="7">
        <v>13.95315624107398</v>
      </c>
      <c r="P185" s="3" t="s">
        <v>21</v>
      </c>
    </row>
    <row r="186" spans="1:16" ht="14.25" customHeight="1" thickBot="1" x14ac:dyDescent="0.4">
      <c r="A186" s="3" t="s">
        <v>333</v>
      </c>
      <c r="B186" s="3" t="s">
        <v>23</v>
      </c>
      <c r="C186" s="10" t="s">
        <v>334</v>
      </c>
      <c r="D186" s="3" t="s">
        <v>15</v>
      </c>
      <c r="E186" s="3" t="s">
        <v>20</v>
      </c>
      <c r="F186" t="s">
        <v>548</v>
      </c>
      <c r="G186" s="7">
        <v>21181</v>
      </c>
      <c r="H186" s="7">
        <v>1242</v>
      </c>
      <c r="I186" s="7">
        <v>963</v>
      </c>
      <c r="J186" s="7">
        <v>1689</v>
      </c>
      <c r="K186" s="8">
        <v>49329</v>
      </c>
      <c r="L186" s="7">
        <v>69165</v>
      </c>
      <c r="M186" s="7">
        <v>22423.013923227067</v>
      </c>
      <c r="N186" s="7">
        <v>25075</v>
      </c>
      <c r="O186" s="7">
        <v>36.253885635798454</v>
      </c>
      <c r="P186" s="3" t="s">
        <v>17</v>
      </c>
    </row>
    <row r="187" spans="1:16" ht="14.25" customHeight="1" thickBot="1" x14ac:dyDescent="0.4">
      <c r="A187" s="3" t="s">
        <v>335</v>
      </c>
      <c r="B187" s="3" t="s">
        <v>23</v>
      </c>
      <c r="C187" s="10" t="s">
        <v>297</v>
      </c>
      <c r="D187" s="3" t="s">
        <v>30</v>
      </c>
      <c r="E187" s="3" t="s">
        <v>26</v>
      </c>
      <c r="F187" t="s">
        <v>549</v>
      </c>
      <c r="G187" s="7">
        <v>24890</v>
      </c>
      <c r="H187" s="7">
        <v>217</v>
      </c>
      <c r="I187" s="7">
        <v>178</v>
      </c>
      <c r="J187" s="7">
        <v>906</v>
      </c>
      <c r="K187" s="8">
        <v>54826</v>
      </c>
      <c r="L187" s="7">
        <v>107203</v>
      </c>
      <c r="M187" s="7">
        <v>25107.001660401296</v>
      </c>
      <c r="N187" s="7">
        <v>26191</v>
      </c>
      <c r="O187" s="7">
        <v>24.431219275579974</v>
      </c>
      <c r="P187" s="3" t="s">
        <v>27</v>
      </c>
    </row>
    <row r="188" spans="1:16" ht="14.25" customHeight="1" thickBot="1" x14ac:dyDescent="0.4">
      <c r="A188" s="3" t="s">
        <v>336</v>
      </c>
      <c r="B188" s="3" t="s">
        <v>46</v>
      </c>
      <c r="C188" s="10" t="s">
        <v>337</v>
      </c>
      <c r="D188" s="3" t="s">
        <v>25</v>
      </c>
      <c r="E188" s="3" t="s">
        <v>169</v>
      </c>
      <c r="F188" t="s">
        <v>556</v>
      </c>
      <c r="G188" s="7">
        <v>7870</v>
      </c>
      <c r="H188" s="7">
        <v>968</v>
      </c>
      <c r="I188" s="7">
        <v>626</v>
      </c>
      <c r="J188" s="7">
        <v>465</v>
      </c>
      <c r="K188" s="8">
        <v>27184</v>
      </c>
      <c r="L188" s="7">
        <v>44114</v>
      </c>
      <c r="M188" s="7">
        <v>8838.0141905064156</v>
      </c>
      <c r="N188" s="7">
        <v>9929</v>
      </c>
      <c r="O188" s="7">
        <v>22.507593961100785</v>
      </c>
      <c r="P188" s="3" t="s">
        <v>55</v>
      </c>
    </row>
    <row r="189" spans="1:16" ht="14.25" customHeight="1" thickBot="1" x14ac:dyDescent="0.4">
      <c r="A189" s="3" t="s">
        <v>338</v>
      </c>
      <c r="B189" s="3" t="s">
        <v>13</v>
      </c>
      <c r="C189" s="10" t="s">
        <v>183</v>
      </c>
      <c r="D189" s="3" t="s">
        <v>38</v>
      </c>
      <c r="E189" s="3" t="s">
        <v>169</v>
      </c>
      <c r="F189" t="s">
        <v>556</v>
      </c>
      <c r="G189" s="7">
        <v>3531</v>
      </c>
      <c r="H189" s="7">
        <v>789</v>
      </c>
      <c r="I189" s="7">
        <v>467</v>
      </c>
      <c r="J189" s="7">
        <v>1867</v>
      </c>
      <c r="K189" s="8">
        <v>40816</v>
      </c>
      <c r="L189" s="7">
        <v>236037</v>
      </c>
      <c r="M189" s="7">
        <v>4320.0019785033701</v>
      </c>
      <c r="N189" s="7">
        <v>6654</v>
      </c>
      <c r="O189" s="7">
        <v>2.8190495557899817</v>
      </c>
      <c r="P189" s="3" t="s">
        <v>27</v>
      </c>
    </row>
    <row r="190" spans="1:16" ht="14.25" customHeight="1" thickBot="1" x14ac:dyDescent="0.4">
      <c r="A190" s="3" t="s">
        <v>339</v>
      </c>
      <c r="B190" s="3" t="s">
        <v>13</v>
      </c>
      <c r="C190" s="10" t="s">
        <v>340</v>
      </c>
      <c r="D190" s="3" t="s">
        <v>15</v>
      </c>
      <c r="E190" s="3" t="s">
        <v>35</v>
      </c>
      <c r="F190" t="s">
        <v>545</v>
      </c>
      <c r="G190" s="7">
        <v>10172</v>
      </c>
      <c r="H190" s="7">
        <v>1398</v>
      </c>
      <c r="I190" s="7">
        <v>394</v>
      </c>
      <c r="J190" s="7">
        <v>2358</v>
      </c>
      <c r="K190" s="8">
        <v>59610</v>
      </c>
      <c r="L190" s="7">
        <v>76321</v>
      </c>
      <c r="M190" s="7">
        <v>11570.005162406153</v>
      </c>
      <c r="N190" s="7">
        <v>14322</v>
      </c>
      <c r="O190" s="7">
        <v>18.765477391543612</v>
      </c>
      <c r="P190" s="3" t="s">
        <v>32</v>
      </c>
    </row>
    <row r="191" spans="1:16" ht="14.25" customHeight="1" thickBot="1" x14ac:dyDescent="0.4">
      <c r="A191" s="3" t="s">
        <v>341</v>
      </c>
      <c r="B191" s="3" t="s">
        <v>46</v>
      </c>
      <c r="C191" s="10" t="s">
        <v>342</v>
      </c>
      <c r="D191" s="3" t="s">
        <v>15</v>
      </c>
      <c r="E191" s="3" t="s">
        <v>39</v>
      </c>
      <c r="F191" t="s">
        <v>551</v>
      </c>
      <c r="G191" s="7">
        <v>21729</v>
      </c>
      <c r="H191" s="7">
        <v>1209</v>
      </c>
      <c r="I191" s="7">
        <v>897</v>
      </c>
      <c r="J191" s="7">
        <v>1624</v>
      </c>
      <c r="K191" s="8">
        <v>38771</v>
      </c>
      <c r="L191" s="7">
        <v>113297</v>
      </c>
      <c r="M191" s="7">
        <v>22938.007917244056</v>
      </c>
      <c r="N191" s="7">
        <v>25459</v>
      </c>
      <c r="O191" s="7">
        <v>22.471027476455689</v>
      </c>
      <c r="P191" s="3" t="s">
        <v>32</v>
      </c>
    </row>
    <row r="192" spans="1:16" ht="14.25" customHeight="1" thickBot="1" x14ac:dyDescent="0.4">
      <c r="A192" s="3" t="s">
        <v>343</v>
      </c>
      <c r="B192" s="3" t="s">
        <v>13</v>
      </c>
      <c r="C192" s="10">
        <v>45944</v>
      </c>
      <c r="D192" s="3" t="s">
        <v>38</v>
      </c>
      <c r="E192" s="3" t="s">
        <v>70</v>
      </c>
      <c r="F192" t="s">
        <v>555</v>
      </c>
      <c r="G192" s="7">
        <v>9673</v>
      </c>
      <c r="H192" s="7">
        <v>393</v>
      </c>
      <c r="I192" s="7">
        <v>846</v>
      </c>
      <c r="J192" s="7">
        <v>1028</v>
      </c>
      <c r="K192" s="8">
        <v>55556</v>
      </c>
      <c r="L192" s="7">
        <v>136652</v>
      </c>
      <c r="M192" s="7">
        <v>10066.006190908292</v>
      </c>
      <c r="N192" s="7">
        <v>11940</v>
      </c>
      <c r="O192" s="7">
        <v>8.7375230512542821</v>
      </c>
      <c r="P192" s="3" t="s">
        <v>21</v>
      </c>
    </row>
    <row r="193" spans="1:16" ht="14.25" customHeight="1" thickBot="1" x14ac:dyDescent="0.4">
      <c r="A193" s="3" t="s">
        <v>344</v>
      </c>
      <c r="B193" s="3" t="s">
        <v>13</v>
      </c>
      <c r="C193" s="10">
        <v>45945</v>
      </c>
      <c r="D193" s="3" t="s">
        <v>15</v>
      </c>
      <c r="E193" s="3" t="s">
        <v>42</v>
      </c>
      <c r="F193" t="s">
        <v>552</v>
      </c>
      <c r="G193" s="7">
        <v>8882</v>
      </c>
      <c r="H193" s="7">
        <v>701</v>
      </c>
      <c r="I193" s="7">
        <v>421</v>
      </c>
      <c r="J193" s="7">
        <v>2343</v>
      </c>
      <c r="K193" s="8">
        <v>13588</v>
      </c>
      <c r="L193" s="7">
        <v>139304</v>
      </c>
      <c r="M193" s="7">
        <v>9583.003022167346</v>
      </c>
      <c r="N193" s="7">
        <v>12347</v>
      </c>
      <c r="O193" s="7">
        <v>8.8633492218457466</v>
      </c>
      <c r="P193" s="3" t="s">
        <v>21</v>
      </c>
    </row>
    <row r="194" spans="1:16" ht="14.25" customHeight="1" thickBot="1" x14ac:dyDescent="0.4">
      <c r="A194" s="3" t="s">
        <v>345</v>
      </c>
      <c r="B194" s="3" t="s">
        <v>23</v>
      </c>
      <c r="C194" s="10" t="s">
        <v>346</v>
      </c>
      <c r="D194" s="3" t="s">
        <v>15</v>
      </c>
      <c r="E194" s="3" t="s">
        <v>42</v>
      </c>
      <c r="F194" t="s">
        <v>552</v>
      </c>
      <c r="G194" s="7">
        <v>3906</v>
      </c>
      <c r="H194" s="7">
        <v>1187</v>
      </c>
      <c r="I194" s="7">
        <v>589</v>
      </c>
      <c r="J194" s="7">
        <v>401</v>
      </c>
      <c r="K194" s="8">
        <v>52687</v>
      </c>
      <c r="L194" s="7">
        <v>196498</v>
      </c>
      <c r="M194" s="7">
        <v>5093.0029974859799</v>
      </c>
      <c r="N194" s="7">
        <v>6083</v>
      </c>
      <c r="O194" s="7">
        <v>3.0957058087105209</v>
      </c>
      <c r="P194" s="3" t="s">
        <v>17</v>
      </c>
    </row>
    <row r="195" spans="1:16" ht="14.25" customHeight="1" thickBot="1" x14ac:dyDescent="0.4">
      <c r="A195" s="3" t="s">
        <v>347</v>
      </c>
      <c r="B195" s="3" t="s">
        <v>13</v>
      </c>
      <c r="C195" s="10" t="s">
        <v>240</v>
      </c>
      <c r="D195" s="3" t="s">
        <v>30</v>
      </c>
      <c r="E195" s="3" t="s">
        <v>39</v>
      </c>
      <c r="F195" t="s">
        <v>551</v>
      </c>
      <c r="G195" s="7">
        <v>5086</v>
      </c>
      <c r="H195" s="7">
        <v>1336</v>
      </c>
      <c r="I195" s="7">
        <v>897</v>
      </c>
      <c r="J195" s="7">
        <v>1715</v>
      </c>
      <c r="K195" s="8">
        <v>60592</v>
      </c>
      <c r="L195" s="7">
        <v>57772</v>
      </c>
      <c r="M195" s="7">
        <v>6422.0155265526555</v>
      </c>
      <c r="N195" s="7">
        <v>9034</v>
      </c>
      <c r="O195" s="7">
        <v>15.637332964065637</v>
      </c>
      <c r="P195" s="3" t="s">
        <v>27</v>
      </c>
    </row>
    <row r="196" spans="1:16" ht="14.25" customHeight="1" thickBot="1" x14ac:dyDescent="0.4">
      <c r="A196" s="3" t="s">
        <v>348</v>
      </c>
      <c r="B196" s="3" t="s">
        <v>13</v>
      </c>
      <c r="C196" s="10" t="s">
        <v>349</v>
      </c>
      <c r="D196" s="3" t="s">
        <v>15</v>
      </c>
      <c r="E196" s="3" t="s">
        <v>48</v>
      </c>
      <c r="F196" t="s">
        <v>553</v>
      </c>
      <c r="G196" s="7">
        <v>15503</v>
      </c>
      <c r="H196" s="7">
        <v>313</v>
      </c>
      <c r="I196" s="7">
        <v>388</v>
      </c>
      <c r="J196" s="7">
        <v>1078</v>
      </c>
      <c r="K196" s="8">
        <v>11500</v>
      </c>
      <c r="L196" s="7">
        <v>143754</v>
      </c>
      <c r="M196" s="7">
        <v>15816.002699055331</v>
      </c>
      <c r="N196" s="7">
        <v>17282</v>
      </c>
      <c r="O196" s="7">
        <v>12.021926346397317</v>
      </c>
      <c r="P196" s="3" t="s">
        <v>32</v>
      </c>
    </row>
    <row r="197" spans="1:16" ht="14.25" customHeight="1" thickBot="1" x14ac:dyDescent="0.4">
      <c r="A197" s="3" t="s">
        <v>350</v>
      </c>
      <c r="B197" s="3" t="s">
        <v>46</v>
      </c>
      <c r="C197" s="10">
        <v>45918</v>
      </c>
      <c r="D197" s="3" t="s">
        <v>25</v>
      </c>
      <c r="E197" s="3" t="s">
        <v>85</v>
      </c>
      <c r="F197" t="s">
        <v>546</v>
      </c>
      <c r="G197" s="7">
        <v>10152</v>
      </c>
      <c r="H197" s="7">
        <v>1445</v>
      </c>
      <c r="I197" s="7">
        <v>526</v>
      </c>
      <c r="J197" s="7">
        <v>513</v>
      </c>
      <c r="K197" s="8">
        <v>18959</v>
      </c>
      <c r="L197" s="7">
        <v>43712</v>
      </c>
      <c r="M197" s="7">
        <v>11597.012033308931</v>
      </c>
      <c r="N197" s="7">
        <v>12636</v>
      </c>
      <c r="O197" s="7">
        <v>28.907393850658856</v>
      </c>
      <c r="P197" s="3" t="s">
        <v>21</v>
      </c>
    </row>
    <row r="198" spans="1:16" ht="14.25" customHeight="1" thickBot="1" x14ac:dyDescent="0.4">
      <c r="A198" s="3" t="s">
        <v>351</v>
      </c>
      <c r="B198" s="3" t="s">
        <v>46</v>
      </c>
      <c r="C198" s="10" t="s">
        <v>290</v>
      </c>
      <c r="D198" s="3" t="s">
        <v>25</v>
      </c>
      <c r="E198" s="3" t="s">
        <v>26</v>
      </c>
      <c r="F198" t="s">
        <v>549</v>
      </c>
      <c r="G198" s="7">
        <v>7750</v>
      </c>
      <c r="H198" s="7">
        <v>1146</v>
      </c>
      <c r="I198" s="7">
        <v>415</v>
      </c>
      <c r="J198" s="7">
        <v>1411</v>
      </c>
      <c r="K198" s="8">
        <v>85339</v>
      </c>
      <c r="L198" s="7">
        <v>172439</v>
      </c>
      <c r="M198" s="7">
        <v>8896.0024066481474</v>
      </c>
      <c r="N198" s="7">
        <v>10722</v>
      </c>
      <c r="O198" s="7">
        <v>6.2178509501910817</v>
      </c>
      <c r="P198" s="3" t="s">
        <v>27</v>
      </c>
    </row>
    <row r="199" spans="1:16" ht="14.25" customHeight="1" thickBot="1" x14ac:dyDescent="0.4">
      <c r="A199" s="3" t="s">
        <v>352</v>
      </c>
      <c r="B199" s="3" t="s">
        <v>19</v>
      </c>
      <c r="C199" s="10">
        <v>45919</v>
      </c>
      <c r="D199" s="3" t="s">
        <v>38</v>
      </c>
      <c r="E199" s="3" t="s">
        <v>31</v>
      </c>
      <c r="F199" t="s">
        <v>550</v>
      </c>
      <c r="G199" s="7">
        <v>14772</v>
      </c>
      <c r="H199" s="7">
        <v>1030</v>
      </c>
      <c r="I199" s="7">
        <v>508</v>
      </c>
      <c r="J199" s="7">
        <v>1876</v>
      </c>
      <c r="K199" s="8">
        <v>8882</v>
      </c>
      <c r="L199" s="7">
        <v>155142</v>
      </c>
      <c r="M199" s="7">
        <v>15802.003274419563</v>
      </c>
      <c r="N199" s="7">
        <v>18186</v>
      </c>
      <c r="O199" s="7">
        <v>11.722164210851993</v>
      </c>
      <c r="P199" s="3" t="s">
        <v>21</v>
      </c>
    </row>
    <row r="200" spans="1:16" ht="14.25" customHeight="1" thickBot="1" x14ac:dyDescent="0.4">
      <c r="A200" s="3" t="s">
        <v>353</v>
      </c>
      <c r="B200" s="3" t="s">
        <v>23</v>
      </c>
      <c r="C200" s="10">
        <v>45920</v>
      </c>
      <c r="D200" s="3" t="s">
        <v>15</v>
      </c>
      <c r="E200" s="3" t="s">
        <v>42</v>
      </c>
      <c r="F200" t="s">
        <v>552</v>
      </c>
      <c r="G200" s="7">
        <v>12267</v>
      </c>
      <c r="H200" s="7">
        <v>1487</v>
      </c>
      <c r="I200" s="7">
        <v>489</v>
      </c>
      <c r="J200" s="7">
        <v>2748</v>
      </c>
      <c r="K200" s="8">
        <v>34685</v>
      </c>
      <c r="L200" s="7">
        <v>131736</v>
      </c>
      <c r="M200" s="7">
        <v>13754.003711969393</v>
      </c>
      <c r="N200" s="7">
        <v>16991</v>
      </c>
      <c r="O200" s="7">
        <v>12.897765227424546</v>
      </c>
      <c r="P200" s="3" t="s">
        <v>21</v>
      </c>
    </row>
    <row r="201" spans="1:16" ht="14.25" customHeight="1" thickBot="1" x14ac:dyDescent="0.4">
      <c r="A201" s="3" t="s">
        <v>354</v>
      </c>
      <c r="B201" s="3" t="s">
        <v>13</v>
      </c>
      <c r="C201" s="10" t="s">
        <v>355</v>
      </c>
      <c r="D201" s="3" t="s">
        <v>38</v>
      </c>
      <c r="E201" s="3" t="s">
        <v>70</v>
      </c>
      <c r="F201" t="s">
        <v>555</v>
      </c>
      <c r="G201" s="7">
        <v>3062</v>
      </c>
      <c r="H201" s="7">
        <v>1124</v>
      </c>
      <c r="I201" s="7">
        <v>538</v>
      </c>
      <c r="J201" s="7">
        <v>2935</v>
      </c>
      <c r="K201" s="8">
        <v>69749</v>
      </c>
      <c r="L201" s="7">
        <v>91924</v>
      </c>
      <c r="M201" s="7">
        <v>4186.0058526608937</v>
      </c>
      <c r="N201" s="7">
        <v>7659</v>
      </c>
      <c r="O201" s="7">
        <v>8.3318828597537102</v>
      </c>
      <c r="P201" s="3" t="s">
        <v>32</v>
      </c>
    </row>
    <row r="202" spans="1:16" ht="14.25" customHeight="1" thickBot="1" x14ac:dyDescent="0.4">
      <c r="A202" s="3" t="s">
        <v>356</v>
      </c>
      <c r="B202" s="3" t="s">
        <v>13</v>
      </c>
      <c r="C202" s="10" t="s">
        <v>357</v>
      </c>
      <c r="D202" s="3" t="s">
        <v>25</v>
      </c>
      <c r="E202" s="3" t="s">
        <v>35</v>
      </c>
      <c r="F202" t="s">
        <v>545</v>
      </c>
      <c r="G202" s="7">
        <v>20360</v>
      </c>
      <c r="H202" s="7">
        <v>254</v>
      </c>
      <c r="I202" s="7">
        <v>726</v>
      </c>
      <c r="J202" s="7">
        <v>1995</v>
      </c>
      <c r="K202" s="8">
        <v>14280</v>
      </c>
      <c r="L202" s="7">
        <v>43726</v>
      </c>
      <c r="M202" s="7">
        <v>20614.016603393862</v>
      </c>
      <c r="N202" s="7">
        <v>23335</v>
      </c>
      <c r="O202" s="7">
        <v>53.366418149384806</v>
      </c>
      <c r="P202" s="3" t="s">
        <v>32</v>
      </c>
    </row>
    <row r="203" spans="1:16" ht="14.25" customHeight="1" thickBot="1" x14ac:dyDescent="0.4">
      <c r="A203" s="3" t="s">
        <v>358</v>
      </c>
      <c r="B203" s="3" t="s">
        <v>19</v>
      </c>
      <c r="C203" s="10">
        <v>45921</v>
      </c>
      <c r="D203" s="3" t="s">
        <v>15</v>
      </c>
      <c r="E203" s="3" t="s">
        <v>169</v>
      </c>
      <c r="F203" t="s">
        <v>556</v>
      </c>
      <c r="G203" s="7">
        <v>19680</v>
      </c>
      <c r="H203" s="7">
        <v>999</v>
      </c>
      <c r="I203" s="7">
        <v>838</v>
      </c>
      <c r="J203" s="7">
        <v>891</v>
      </c>
      <c r="K203" s="8">
        <v>29576</v>
      </c>
      <c r="L203" s="7">
        <v>129152</v>
      </c>
      <c r="M203" s="7">
        <v>20679.006488478692</v>
      </c>
      <c r="N203" s="7">
        <v>22408</v>
      </c>
      <c r="O203" s="7">
        <v>17.350099108027749</v>
      </c>
      <c r="P203" s="3" t="s">
        <v>21</v>
      </c>
    </row>
    <row r="204" spans="1:16" ht="14.25" customHeight="1" thickBot="1" x14ac:dyDescent="0.4">
      <c r="A204" s="3" t="s">
        <v>359</v>
      </c>
      <c r="B204" s="3" t="s">
        <v>13</v>
      </c>
      <c r="C204" s="10" t="s">
        <v>360</v>
      </c>
      <c r="D204" s="3" t="s">
        <v>15</v>
      </c>
      <c r="E204" s="3" t="s">
        <v>42</v>
      </c>
      <c r="F204" t="s">
        <v>552</v>
      </c>
      <c r="G204" s="7">
        <v>8229</v>
      </c>
      <c r="H204" s="7">
        <v>977</v>
      </c>
      <c r="I204" s="7">
        <v>152</v>
      </c>
      <c r="J204" s="7">
        <v>1633</v>
      </c>
      <c r="K204" s="8">
        <v>71447</v>
      </c>
      <c r="L204" s="7">
        <v>67723</v>
      </c>
      <c r="M204" s="7">
        <v>9206.0022444368969</v>
      </c>
      <c r="N204" s="7">
        <v>10991</v>
      </c>
      <c r="O204" s="7">
        <v>16.229346012432998</v>
      </c>
      <c r="P204" s="3" t="s">
        <v>55</v>
      </c>
    </row>
    <row r="205" spans="1:16" ht="14.25" customHeight="1" thickBot="1" x14ac:dyDescent="0.4">
      <c r="A205" s="3" t="s">
        <v>361</v>
      </c>
      <c r="B205" s="3" t="s">
        <v>23</v>
      </c>
      <c r="C205" s="10">
        <v>45922</v>
      </c>
      <c r="D205" s="3" t="s">
        <v>38</v>
      </c>
      <c r="E205" s="3" t="s">
        <v>35</v>
      </c>
      <c r="F205" t="s">
        <v>545</v>
      </c>
      <c r="G205" s="7">
        <v>18509</v>
      </c>
      <c r="H205" s="7">
        <v>361</v>
      </c>
      <c r="I205" s="7">
        <v>578</v>
      </c>
      <c r="J205" s="7">
        <v>1409</v>
      </c>
      <c r="K205" s="8">
        <v>10569</v>
      </c>
      <c r="L205" s="7">
        <v>166969</v>
      </c>
      <c r="M205" s="7">
        <v>18870.00346172044</v>
      </c>
      <c r="N205" s="7">
        <v>20857</v>
      </c>
      <c r="O205" s="7">
        <v>12.491540345812696</v>
      </c>
      <c r="P205" s="3" t="s">
        <v>21</v>
      </c>
    </row>
    <row r="206" spans="1:16" ht="14.25" customHeight="1" thickBot="1" x14ac:dyDescent="0.4">
      <c r="A206" s="3" t="s">
        <v>362</v>
      </c>
      <c r="B206" s="3" t="s">
        <v>19</v>
      </c>
      <c r="C206" s="10">
        <v>45923</v>
      </c>
      <c r="D206" s="3" t="s">
        <v>25</v>
      </c>
      <c r="E206" s="3" t="s">
        <v>62</v>
      </c>
      <c r="F206" t="s">
        <v>554</v>
      </c>
      <c r="G206" s="7">
        <v>17147</v>
      </c>
      <c r="H206" s="7">
        <v>286</v>
      </c>
      <c r="I206" s="7">
        <v>291</v>
      </c>
      <c r="J206" s="7">
        <v>2439</v>
      </c>
      <c r="K206" s="8">
        <v>45631</v>
      </c>
      <c r="L206" s="7">
        <v>140494</v>
      </c>
      <c r="M206" s="7">
        <v>17433.002071262828</v>
      </c>
      <c r="N206" s="7">
        <v>20163</v>
      </c>
      <c r="O206" s="7">
        <v>14.351502555269263</v>
      </c>
      <c r="P206" s="3" t="s">
        <v>21</v>
      </c>
    </row>
    <row r="207" spans="1:16" ht="14.25" customHeight="1" thickBot="1" x14ac:dyDescent="0.4">
      <c r="A207" s="3" t="s">
        <v>363</v>
      </c>
      <c r="B207" s="3" t="s">
        <v>23</v>
      </c>
      <c r="C207" s="10" t="s">
        <v>37</v>
      </c>
      <c r="D207" s="3" t="s">
        <v>15</v>
      </c>
      <c r="E207" s="3" t="s">
        <v>62</v>
      </c>
      <c r="F207" t="s">
        <v>554</v>
      </c>
      <c r="G207" s="7">
        <v>6632</v>
      </c>
      <c r="H207" s="7">
        <v>254</v>
      </c>
      <c r="I207" s="7">
        <v>525</v>
      </c>
      <c r="J207" s="7">
        <v>1013</v>
      </c>
      <c r="K207" s="8">
        <v>13838</v>
      </c>
      <c r="L207" s="7">
        <v>180180</v>
      </c>
      <c r="M207" s="7">
        <v>6886.0029137529136</v>
      </c>
      <c r="N207" s="7">
        <v>8424</v>
      </c>
      <c r="O207" s="7">
        <v>4.6753246753246751</v>
      </c>
      <c r="P207" s="3" t="s">
        <v>17</v>
      </c>
    </row>
    <row r="208" spans="1:16" ht="14.25" customHeight="1" thickBot="1" x14ac:dyDescent="0.4">
      <c r="A208" s="3" t="s">
        <v>364</v>
      </c>
      <c r="B208" s="3" t="s">
        <v>19</v>
      </c>
      <c r="C208" s="10" t="s">
        <v>365</v>
      </c>
      <c r="D208" s="3" t="s">
        <v>38</v>
      </c>
      <c r="E208" s="3" t="s">
        <v>85</v>
      </c>
      <c r="F208" t="s">
        <v>546</v>
      </c>
      <c r="G208" s="7">
        <v>8288</v>
      </c>
      <c r="H208" s="7">
        <v>1401</v>
      </c>
      <c r="I208" s="7">
        <v>819</v>
      </c>
      <c r="J208" s="7">
        <v>1235</v>
      </c>
      <c r="K208" s="8">
        <v>33446</v>
      </c>
      <c r="L208" s="7">
        <v>248786</v>
      </c>
      <c r="M208" s="7">
        <v>9689.0032919858841</v>
      </c>
      <c r="N208" s="7">
        <v>11743</v>
      </c>
      <c r="O208" s="7">
        <v>4.7201209071249997</v>
      </c>
      <c r="P208" s="3" t="s">
        <v>17</v>
      </c>
    </row>
    <row r="209" spans="1:16" ht="14.25" customHeight="1" thickBot="1" x14ac:dyDescent="0.4">
      <c r="A209" s="3" t="s">
        <v>366</v>
      </c>
      <c r="B209" s="3" t="s">
        <v>19</v>
      </c>
      <c r="C209" s="10" t="s">
        <v>37</v>
      </c>
      <c r="D209" s="3" t="s">
        <v>25</v>
      </c>
      <c r="E209" s="3" t="s">
        <v>20</v>
      </c>
      <c r="F209" t="s">
        <v>548</v>
      </c>
      <c r="G209" s="7">
        <v>5596</v>
      </c>
      <c r="H209" s="7">
        <v>1231</v>
      </c>
      <c r="I209" s="7">
        <v>473</v>
      </c>
      <c r="J209" s="7">
        <v>2251</v>
      </c>
      <c r="K209" s="8">
        <v>43705</v>
      </c>
      <c r="L209" s="7">
        <v>75643</v>
      </c>
      <c r="M209" s="7">
        <v>6827.006253057124</v>
      </c>
      <c r="N209" s="7">
        <v>9551</v>
      </c>
      <c r="O209" s="7">
        <v>12.626416191848552</v>
      </c>
      <c r="P209" s="3" t="s">
        <v>17</v>
      </c>
    </row>
    <row r="210" spans="1:16" ht="14.25" customHeight="1" thickBot="1" x14ac:dyDescent="0.4">
      <c r="A210" s="3" t="s">
        <v>367</v>
      </c>
      <c r="B210" s="3" t="s">
        <v>46</v>
      </c>
      <c r="C210" s="10" t="s">
        <v>368</v>
      </c>
      <c r="D210" s="3" t="s">
        <v>38</v>
      </c>
      <c r="E210" s="3" t="s">
        <v>31</v>
      </c>
      <c r="F210" t="s">
        <v>550</v>
      </c>
      <c r="G210" s="7">
        <v>13475</v>
      </c>
      <c r="H210" s="7">
        <v>1032</v>
      </c>
      <c r="I210" s="7">
        <v>295</v>
      </c>
      <c r="J210" s="7">
        <v>541</v>
      </c>
      <c r="K210" s="8">
        <v>43666</v>
      </c>
      <c r="L210" s="7">
        <v>202396</v>
      </c>
      <c r="M210" s="7">
        <v>14507.001457538687</v>
      </c>
      <c r="N210" s="7">
        <v>15343</v>
      </c>
      <c r="O210" s="7">
        <v>7.5806834127156666</v>
      </c>
      <c r="P210" s="3" t="s">
        <v>55</v>
      </c>
    </row>
    <row r="211" spans="1:16" ht="14.25" customHeight="1" thickBot="1" x14ac:dyDescent="0.4">
      <c r="A211" s="3" t="s">
        <v>369</v>
      </c>
      <c r="B211" s="3" t="s">
        <v>23</v>
      </c>
      <c r="C211" s="10" t="s">
        <v>370</v>
      </c>
      <c r="D211" s="3" t="s">
        <v>30</v>
      </c>
      <c r="E211" s="3" t="s">
        <v>48</v>
      </c>
      <c r="F211" t="s">
        <v>553</v>
      </c>
      <c r="G211" s="7">
        <v>8168</v>
      </c>
      <c r="H211" s="7">
        <v>512</v>
      </c>
      <c r="I211" s="7">
        <v>442</v>
      </c>
      <c r="J211" s="7">
        <v>2343</v>
      </c>
      <c r="K211" s="8">
        <v>2753</v>
      </c>
      <c r="L211" s="7">
        <v>143896</v>
      </c>
      <c r="M211" s="7">
        <v>8680.003071662868</v>
      </c>
      <c r="N211" s="7">
        <v>11465</v>
      </c>
      <c r="O211" s="7">
        <v>7.9675599043753822</v>
      </c>
      <c r="P211" s="3" t="s">
        <v>55</v>
      </c>
    </row>
    <row r="212" spans="1:16" ht="14.25" customHeight="1" thickBot="1" x14ac:dyDescent="0.4">
      <c r="A212" s="3" t="s">
        <v>371</v>
      </c>
      <c r="B212" s="3" t="s">
        <v>13</v>
      </c>
      <c r="C212" s="10">
        <v>45924</v>
      </c>
      <c r="D212" s="3" t="s">
        <v>15</v>
      </c>
      <c r="E212" s="3" t="s">
        <v>85</v>
      </c>
      <c r="F212" t="s">
        <v>546</v>
      </c>
      <c r="G212" s="7">
        <v>11795</v>
      </c>
      <c r="H212" s="7">
        <v>958</v>
      </c>
      <c r="I212" s="7">
        <v>814</v>
      </c>
      <c r="J212" s="7">
        <v>301</v>
      </c>
      <c r="K212" s="8">
        <v>12564</v>
      </c>
      <c r="L212" s="7">
        <v>179999</v>
      </c>
      <c r="M212" s="7">
        <v>12753.004522247345</v>
      </c>
      <c r="N212" s="7">
        <v>13868</v>
      </c>
      <c r="O212" s="7">
        <v>7.7044872471513735</v>
      </c>
      <c r="P212" s="3" t="s">
        <v>21</v>
      </c>
    </row>
    <row r="213" spans="1:16" ht="14.25" customHeight="1" thickBot="1" x14ac:dyDescent="0.4">
      <c r="A213" s="3" t="s">
        <v>372</v>
      </c>
      <c r="B213" s="3" t="s">
        <v>13</v>
      </c>
      <c r="C213" s="10" t="s">
        <v>158</v>
      </c>
      <c r="D213" s="3" t="s">
        <v>30</v>
      </c>
      <c r="E213" s="3" t="s">
        <v>16</v>
      </c>
      <c r="F213" t="s">
        <v>547</v>
      </c>
      <c r="G213" s="7">
        <v>9561</v>
      </c>
      <c r="H213" s="7">
        <v>642</v>
      </c>
      <c r="I213" s="7">
        <v>581</v>
      </c>
      <c r="J213" s="7">
        <v>2572</v>
      </c>
      <c r="K213" s="8">
        <v>38552</v>
      </c>
      <c r="L213" s="7">
        <v>133680</v>
      </c>
      <c r="M213" s="7">
        <v>10203.004346199881</v>
      </c>
      <c r="N213" s="7">
        <v>13356</v>
      </c>
      <c r="O213" s="7">
        <v>9.9910233393177741</v>
      </c>
      <c r="P213" s="3" t="s">
        <v>17</v>
      </c>
    </row>
    <row r="214" spans="1:16" ht="14.25" customHeight="1" thickBot="1" x14ac:dyDescent="0.4">
      <c r="A214" s="3" t="s">
        <v>373</v>
      </c>
      <c r="B214" s="3" t="s">
        <v>23</v>
      </c>
      <c r="C214" s="10" t="s">
        <v>374</v>
      </c>
      <c r="D214" s="3" t="s">
        <v>25</v>
      </c>
      <c r="E214" s="3" t="s">
        <v>48</v>
      </c>
      <c r="F214" t="s">
        <v>553</v>
      </c>
      <c r="G214" s="7">
        <v>10258</v>
      </c>
      <c r="H214" s="7">
        <v>527</v>
      </c>
      <c r="I214" s="7">
        <v>854</v>
      </c>
      <c r="J214" s="7">
        <v>2068</v>
      </c>
      <c r="K214" s="8">
        <v>45632</v>
      </c>
      <c r="L214" s="7">
        <v>136546</v>
      </c>
      <c r="M214" s="7">
        <v>10785.00625430258</v>
      </c>
      <c r="N214" s="7">
        <v>13707</v>
      </c>
      <c r="O214" s="7">
        <v>10.038375346037233</v>
      </c>
      <c r="P214" s="3" t="s">
        <v>55</v>
      </c>
    </row>
    <row r="215" spans="1:16" ht="14.25" customHeight="1" thickBot="1" x14ac:dyDescent="0.4">
      <c r="A215" s="3" t="s">
        <v>375</v>
      </c>
      <c r="B215" s="3" t="s">
        <v>13</v>
      </c>
      <c r="C215" s="10" t="s">
        <v>14</v>
      </c>
      <c r="D215" s="3" t="s">
        <v>30</v>
      </c>
      <c r="E215" s="3" t="s">
        <v>26</v>
      </c>
      <c r="F215" t="s">
        <v>549</v>
      </c>
      <c r="G215" s="7">
        <v>18616</v>
      </c>
      <c r="H215" s="7">
        <v>1277</v>
      </c>
      <c r="I215" s="7">
        <v>734</v>
      </c>
      <c r="J215" s="7">
        <v>2249</v>
      </c>
      <c r="K215" s="8">
        <v>3399</v>
      </c>
      <c r="L215" s="7">
        <v>193515</v>
      </c>
      <c r="M215" s="7">
        <v>19893.003792987623</v>
      </c>
      <c r="N215" s="7">
        <v>22876</v>
      </c>
      <c r="O215" s="7">
        <v>11.821305841924397</v>
      </c>
      <c r="P215" s="3" t="s">
        <v>32</v>
      </c>
    </row>
    <row r="216" spans="1:16" ht="14.25" customHeight="1" thickBot="1" x14ac:dyDescent="0.4">
      <c r="A216" s="3" t="s">
        <v>376</v>
      </c>
      <c r="B216" s="3" t="s">
        <v>13</v>
      </c>
      <c r="C216" s="10">
        <v>45925</v>
      </c>
      <c r="D216" s="3" t="s">
        <v>30</v>
      </c>
      <c r="E216" s="3" t="s">
        <v>70</v>
      </c>
      <c r="F216" t="s">
        <v>555</v>
      </c>
      <c r="G216" s="7">
        <v>8371</v>
      </c>
      <c r="H216" s="7">
        <v>960</v>
      </c>
      <c r="I216" s="7">
        <v>548</v>
      </c>
      <c r="J216" s="7">
        <v>2936</v>
      </c>
      <c r="K216" s="8">
        <v>82543</v>
      </c>
      <c r="L216" s="7">
        <v>119973</v>
      </c>
      <c r="M216" s="7">
        <v>9331.0045676943973</v>
      </c>
      <c r="N216" s="7">
        <v>12815</v>
      </c>
      <c r="O216" s="7">
        <v>10.68157001992115</v>
      </c>
      <c r="P216" s="3" t="s">
        <v>21</v>
      </c>
    </row>
    <row r="217" spans="1:16" ht="14.25" customHeight="1" thickBot="1" x14ac:dyDescent="0.4">
      <c r="A217" s="3" t="s">
        <v>377</v>
      </c>
      <c r="B217" s="3" t="s">
        <v>23</v>
      </c>
      <c r="C217" s="10" t="s">
        <v>221</v>
      </c>
      <c r="D217" s="3" t="s">
        <v>25</v>
      </c>
      <c r="E217" s="3" t="s">
        <v>16</v>
      </c>
      <c r="F217" t="s">
        <v>547</v>
      </c>
      <c r="G217" s="7">
        <v>22590</v>
      </c>
      <c r="H217" s="7">
        <v>1462</v>
      </c>
      <c r="I217" s="7">
        <v>966</v>
      </c>
      <c r="J217" s="7">
        <v>2463</v>
      </c>
      <c r="K217" s="8">
        <v>29689</v>
      </c>
      <c r="L217" s="7">
        <v>103449</v>
      </c>
      <c r="M217" s="7">
        <v>24052.009337934633</v>
      </c>
      <c r="N217" s="7">
        <v>27481</v>
      </c>
      <c r="O217" s="7">
        <v>26.564780713201674</v>
      </c>
      <c r="P217" s="3" t="s">
        <v>27</v>
      </c>
    </row>
    <row r="218" spans="1:16" ht="14.25" customHeight="1" thickBot="1" x14ac:dyDescent="0.4">
      <c r="A218" s="3" t="s">
        <v>378</v>
      </c>
      <c r="B218" s="3" t="s">
        <v>19</v>
      </c>
      <c r="C218" s="10">
        <v>45926</v>
      </c>
      <c r="D218" s="3" t="s">
        <v>38</v>
      </c>
      <c r="E218" s="3" t="s">
        <v>16</v>
      </c>
      <c r="F218" t="s">
        <v>547</v>
      </c>
      <c r="G218" s="7">
        <v>16369</v>
      </c>
      <c r="H218" s="7">
        <v>1452</v>
      </c>
      <c r="I218" s="7">
        <v>493</v>
      </c>
      <c r="J218" s="7">
        <v>1217</v>
      </c>
      <c r="K218" s="8">
        <v>91440</v>
      </c>
      <c r="L218" s="7">
        <v>149834</v>
      </c>
      <c r="M218" s="7">
        <v>17821.003290307941</v>
      </c>
      <c r="N218" s="7">
        <v>19531</v>
      </c>
      <c r="O218" s="7">
        <v>13.035092168666656</v>
      </c>
      <c r="P218" s="3" t="s">
        <v>21</v>
      </c>
    </row>
    <row r="219" spans="1:16" ht="14.25" customHeight="1" thickBot="1" x14ac:dyDescent="0.4">
      <c r="A219" s="3" t="s">
        <v>379</v>
      </c>
      <c r="B219" s="3" t="s">
        <v>23</v>
      </c>
      <c r="C219" s="10" t="s">
        <v>380</v>
      </c>
      <c r="D219" s="3" t="s">
        <v>30</v>
      </c>
      <c r="E219" s="3" t="s">
        <v>85</v>
      </c>
      <c r="F219" t="s">
        <v>546</v>
      </c>
      <c r="G219" s="7">
        <v>14910</v>
      </c>
      <c r="H219" s="7">
        <v>778</v>
      </c>
      <c r="I219" s="7">
        <v>289</v>
      </c>
      <c r="J219" s="7">
        <v>2541</v>
      </c>
      <c r="K219" s="8">
        <v>14309</v>
      </c>
      <c r="L219" s="7">
        <v>247815</v>
      </c>
      <c r="M219" s="7">
        <v>15688.001166192522</v>
      </c>
      <c r="N219" s="7">
        <v>18518</v>
      </c>
      <c r="O219" s="7">
        <v>7.4725097350846399</v>
      </c>
      <c r="P219" s="3" t="s">
        <v>27</v>
      </c>
    </row>
    <row r="220" spans="1:16" ht="14.25" customHeight="1" thickBot="1" x14ac:dyDescent="0.4">
      <c r="A220" s="3" t="s">
        <v>381</v>
      </c>
      <c r="B220" s="3" t="s">
        <v>19</v>
      </c>
      <c r="C220" s="10" t="s">
        <v>136</v>
      </c>
      <c r="D220" s="3" t="s">
        <v>38</v>
      </c>
      <c r="E220" s="3" t="s">
        <v>39</v>
      </c>
      <c r="F220" t="s">
        <v>551</v>
      </c>
      <c r="G220" s="7">
        <v>9943</v>
      </c>
      <c r="H220" s="7">
        <v>1274</v>
      </c>
      <c r="I220" s="7">
        <v>336</v>
      </c>
      <c r="J220" s="7">
        <v>389</v>
      </c>
      <c r="K220" s="8">
        <v>6145</v>
      </c>
      <c r="L220" s="7">
        <v>231305</v>
      </c>
      <c r="M220" s="7">
        <v>11217.001452627483</v>
      </c>
      <c r="N220" s="7">
        <v>11942</v>
      </c>
      <c r="O220" s="7">
        <v>5.1628801798491173</v>
      </c>
      <c r="P220" s="3" t="s">
        <v>17</v>
      </c>
    </row>
    <row r="221" spans="1:16" ht="14.25" customHeight="1" thickBot="1" x14ac:dyDescent="0.4">
      <c r="A221" s="3" t="s">
        <v>382</v>
      </c>
      <c r="B221" s="3" t="s">
        <v>13</v>
      </c>
      <c r="C221" s="10" t="s">
        <v>383</v>
      </c>
      <c r="D221" s="3" t="s">
        <v>30</v>
      </c>
      <c r="E221" s="3" t="s">
        <v>20</v>
      </c>
      <c r="F221" t="s">
        <v>548</v>
      </c>
      <c r="G221" s="7">
        <v>14199</v>
      </c>
      <c r="H221" s="7">
        <v>1206</v>
      </c>
      <c r="I221" s="7">
        <v>954</v>
      </c>
      <c r="J221" s="7">
        <v>2009</v>
      </c>
      <c r="K221" s="8">
        <v>8</v>
      </c>
      <c r="L221" s="7">
        <v>65537</v>
      </c>
      <c r="M221" s="7">
        <v>15405.014556662649</v>
      </c>
      <c r="N221" s="7">
        <v>18368</v>
      </c>
      <c r="O221" s="7">
        <v>28.026916093199262</v>
      </c>
      <c r="P221" s="3" t="s">
        <v>27</v>
      </c>
    </row>
    <row r="222" spans="1:16" ht="14.25" customHeight="1" thickBot="1" x14ac:dyDescent="0.4">
      <c r="A222" s="3" t="s">
        <v>384</v>
      </c>
      <c r="B222" s="3" t="s">
        <v>13</v>
      </c>
      <c r="C222" s="10" t="s">
        <v>210</v>
      </c>
      <c r="D222" s="3" t="s">
        <v>38</v>
      </c>
      <c r="E222" s="3" t="s">
        <v>39</v>
      </c>
      <c r="F222" t="s">
        <v>551</v>
      </c>
      <c r="G222" s="7">
        <v>17728</v>
      </c>
      <c r="H222" s="7">
        <v>1487</v>
      </c>
      <c r="I222" s="7">
        <v>210</v>
      </c>
      <c r="J222" s="7">
        <v>2469</v>
      </c>
      <c r="K222" s="8">
        <v>30565</v>
      </c>
      <c r="L222" s="7">
        <v>117576</v>
      </c>
      <c r="M222" s="7">
        <v>19215.001786078792</v>
      </c>
      <c r="N222" s="7">
        <v>21894</v>
      </c>
      <c r="O222" s="7">
        <v>18.621147172892428</v>
      </c>
      <c r="P222" s="3" t="s">
        <v>17</v>
      </c>
    </row>
    <row r="223" spans="1:16" ht="14.25" customHeight="1" thickBot="1" x14ac:dyDescent="0.4">
      <c r="A223" s="3" t="s">
        <v>385</v>
      </c>
      <c r="B223" s="3" t="s">
        <v>13</v>
      </c>
      <c r="C223" s="10" t="s">
        <v>386</v>
      </c>
      <c r="D223" s="3" t="s">
        <v>25</v>
      </c>
      <c r="E223" s="3" t="s">
        <v>85</v>
      </c>
      <c r="F223" t="s">
        <v>546</v>
      </c>
      <c r="G223" s="7">
        <v>8738</v>
      </c>
      <c r="H223" s="7">
        <v>295</v>
      </c>
      <c r="I223" s="7">
        <v>529</v>
      </c>
      <c r="J223" s="7">
        <v>442</v>
      </c>
      <c r="K223" s="8">
        <v>25286</v>
      </c>
      <c r="L223" s="7">
        <v>147522</v>
      </c>
      <c r="M223" s="7">
        <v>9033.0035859058316</v>
      </c>
      <c r="N223" s="7">
        <v>10004</v>
      </c>
      <c r="O223" s="7">
        <v>6.7813614240587849</v>
      </c>
      <c r="P223" s="3" t="s">
        <v>32</v>
      </c>
    </row>
    <row r="224" spans="1:16" ht="14.25" customHeight="1" thickBot="1" x14ac:dyDescent="0.4">
      <c r="A224" s="3" t="s">
        <v>387</v>
      </c>
      <c r="B224" s="3" t="s">
        <v>46</v>
      </c>
      <c r="C224" s="10" t="s">
        <v>309</v>
      </c>
      <c r="D224" s="3" t="s">
        <v>30</v>
      </c>
      <c r="E224" s="3" t="s">
        <v>26</v>
      </c>
      <c r="F224" t="s">
        <v>549</v>
      </c>
      <c r="G224" s="7">
        <v>17913</v>
      </c>
      <c r="H224" s="7">
        <v>1311</v>
      </c>
      <c r="I224" s="7">
        <v>859</v>
      </c>
      <c r="J224" s="7">
        <v>405</v>
      </c>
      <c r="K224" s="8">
        <v>59842</v>
      </c>
      <c r="L224" s="7">
        <v>62612</v>
      </c>
      <c r="M224" s="7">
        <v>19224.013719414808</v>
      </c>
      <c r="N224" s="7">
        <v>20488</v>
      </c>
      <c r="O224" s="7">
        <v>32.722161885900462</v>
      </c>
      <c r="P224" s="3" t="s">
        <v>27</v>
      </c>
    </row>
    <row r="225" spans="1:16" ht="14.25" customHeight="1" thickBot="1" x14ac:dyDescent="0.4">
      <c r="A225" s="3" t="s">
        <v>388</v>
      </c>
      <c r="B225" s="3" t="s">
        <v>19</v>
      </c>
      <c r="C225" s="10">
        <v>45907</v>
      </c>
      <c r="D225" s="3" t="s">
        <v>25</v>
      </c>
      <c r="E225" s="3" t="s">
        <v>169</v>
      </c>
      <c r="F225" t="s">
        <v>556</v>
      </c>
      <c r="G225" s="7">
        <v>4472</v>
      </c>
      <c r="H225" s="7">
        <v>1301</v>
      </c>
      <c r="I225" s="7">
        <v>956</v>
      </c>
      <c r="J225" s="7">
        <v>1186</v>
      </c>
      <c r="K225" s="8">
        <v>3363</v>
      </c>
      <c r="L225" s="7">
        <v>46471</v>
      </c>
      <c r="M225" s="7">
        <v>5773.020571969615</v>
      </c>
      <c r="N225" s="7">
        <v>7915</v>
      </c>
      <c r="O225" s="7">
        <v>17.032127563426652</v>
      </c>
      <c r="P225" s="3" t="s">
        <v>21</v>
      </c>
    </row>
    <row r="226" spans="1:16" ht="14.25" customHeight="1" thickBot="1" x14ac:dyDescent="0.4">
      <c r="A226" s="3" t="s">
        <v>389</v>
      </c>
      <c r="B226" s="3" t="s">
        <v>46</v>
      </c>
      <c r="C226" s="10" t="s">
        <v>390</v>
      </c>
      <c r="D226" s="3" t="s">
        <v>30</v>
      </c>
      <c r="E226" s="3" t="s">
        <v>42</v>
      </c>
      <c r="F226" t="s">
        <v>552</v>
      </c>
      <c r="G226" s="7">
        <v>21123</v>
      </c>
      <c r="H226" s="7">
        <v>1343</v>
      </c>
      <c r="I226" s="7">
        <v>589</v>
      </c>
      <c r="J226" s="7">
        <v>727</v>
      </c>
      <c r="K226" s="8">
        <v>87833</v>
      </c>
      <c r="L226" s="7">
        <v>206703</v>
      </c>
      <c r="M226" s="7">
        <v>22466.00284949904</v>
      </c>
      <c r="N226" s="7">
        <v>23782</v>
      </c>
      <c r="O226" s="7">
        <v>11.50539663188246</v>
      </c>
      <c r="P226" s="3" t="s">
        <v>17</v>
      </c>
    </row>
    <row r="227" spans="1:16" ht="14.25" customHeight="1" thickBot="1" x14ac:dyDescent="0.4">
      <c r="A227" s="3" t="s">
        <v>391</v>
      </c>
      <c r="B227" s="3" t="s">
        <v>46</v>
      </c>
      <c r="C227" s="10">
        <v>45908</v>
      </c>
      <c r="D227" s="3" t="s">
        <v>25</v>
      </c>
      <c r="E227" s="3" t="s">
        <v>42</v>
      </c>
      <c r="F227" t="s">
        <v>552</v>
      </c>
      <c r="G227" s="7">
        <v>23785</v>
      </c>
      <c r="H227" s="7">
        <v>1013</v>
      </c>
      <c r="I227" s="7">
        <v>468</v>
      </c>
      <c r="J227" s="7">
        <v>1628</v>
      </c>
      <c r="K227" s="8">
        <v>8272</v>
      </c>
      <c r="L227" s="7">
        <v>71348</v>
      </c>
      <c r="M227" s="7">
        <v>24798.006559399004</v>
      </c>
      <c r="N227" s="7">
        <v>26894</v>
      </c>
      <c r="O227" s="7">
        <v>37.694118966193869</v>
      </c>
      <c r="P227" s="3" t="s">
        <v>21</v>
      </c>
    </row>
    <row r="228" spans="1:16" ht="14.25" customHeight="1" thickBot="1" x14ac:dyDescent="0.4">
      <c r="A228" s="3" t="s">
        <v>392</v>
      </c>
      <c r="B228" s="3" t="s">
        <v>23</v>
      </c>
      <c r="C228" s="10" t="s">
        <v>393</v>
      </c>
      <c r="D228" s="3" t="s">
        <v>25</v>
      </c>
      <c r="E228" s="3" t="s">
        <v>20</v>
      </c>
      <c r="F228" t="s">
        <v>548</v>
      </c>
      <c r="G228" s="7">
        <v>17679</v>
      </c>
      <c r="H228" s="7">
        <v>690</v>
      </c>
      <c r="I228" s="7">
        <v>451</v>
      </c>
      <c r="J228" s="7">
        <v>2195</v>
      </c>
      <c r="K228" s="8">
        <v>4390</v>
      </c>
      <c r="L228" s="7">
        <v>235804</v>
      </c>
      <c r="M228" s="7">
        <v>18369.001912605385</v>
      </c>
      <c r="N228" s="7">
        <v>21015</v>
      </c>
      <c r="O228" s="7">
        <v>8.9120625604315453</v>
      </c>
      <c r="P228" s="3" t="s">
        <v>55</v>
      </c>
    </row>
    <row r="229" spans="1:16" ht="14.25" customHeight="1" thickBot="1" x14ac:dyDescent="0.4">
      <c r="A229" s="3" t="s">
        <v>394</v>
      </c>
      <c r="B229" s="3" t="s">
        <v>46</v>
      </c>
      <c r="C229" s="10" t="s">
        <v>395</v>
      </c>
      <c r="D229" s="3" t="s">
        <v>30</v>
      </c>
      <c r="E229" s="3" t="s">
        <v>26</v>
      </c>
      <c r="F229" t="s">
        <v>549</v>
      </c>
      <c r="G229" s="7">
        <v>3761</v>
      </c>
      <c r="H229" s="7">
        <v>651</v>
      </c>
      <c r="I229" s="7">
        <v>493</v>
      </c>
      <c r="J229" s="7">
        <v>2294</v>
      </c>
      <c r="K229" s="8">
        <v>71696</v>
      </c>
      <c r="L229" s="7">
        <v>41177</v>
      </c>
      <c r="M229" s="7">
        <v>4412.0119727032079</v>
      </c>
      <c r="N229" s="7">
        <v>7199</v>
      </c>
      <c r="O229" s="7">
        <v>17.48306093207373</v>
      </c>
      <c r="P229" s="3" t="s">
        <v>17</v>
      </c>
    </row>
    <row r="230" spans="1:16" ht="14.25" customHeight="1" thickBot="1" x14ac:dyDescent="0.4">
      <c r="A230" s="3" t="s">
        <v>396</v>
      </c>
      <c r="B230" s="3" t="s">
        <v>23</v>
      </c>
      <c r="C230" s="10" t="s">
        <v>118</v>
      </c>
      <c r="D230" s="3" t="s">
        <v>30</v>
      </c>
      <c r="E230" s="3" t="s">
        <v>20</v>
      </c>
      <c r="F230" t="s">
        <v>548</v>
      </c>
      <c r="G230" s="7">
        <v>12167</v>
      </c>
      <c r="H230" s="7">
        <v>364</v>
      </c>
      <c r="I230" s="7">
        <v>160</v>
      </c>
      <c r="J230" s="7">
        <v>616</v>
      </c>
      <c r="K230" s="8">
        <v>42228</v>
      </c>
      <c r="L230" s="7">
        <v>175832</v>
      </c>
      <c r="M230" s="7">
        <v>12531.000909959506</v>
      </c>
      <c r="N230" s="7">
        <v>13307</v>
      </c>
      <c r="O230" s="7">
        <v>7.5680194731334458</v>
      </c>
      <c r="P230" s="3" t="s">
        <v>27</v>
      </c>
    </row>
    <row r="231" spans="1:16" ht="14.25" customHeight="1" thickBot="1" x14ac:dyDescent="0.4">
      <c r="A231" s="3" t="s">
        <v>397</v>
      </c>
      <c r="B231" s="3" t="s">
        <v>23</v>
      </c>
      <c r="C231" s="10" t="s">
        <v>266</v>
      </c>
      <c r="D231" s="3" t="s">
        <v>30</v>
      </c>
      <c r="E231" s="3" t="s">
        <v>35</v>
      </c>
      <c r="F231" t="s">
        <v>545</v>
      </c>
      <c r="G231" s="7">
        <v>12554</v>
      </c>
      <c r="H231" s="7">
        <v>381</v>
      </c>
      <c r="I231" s="7">
        <v>211</v>
      </c>
      <c r="J231" s="7">
        <v>2286</v>
      </c>
      <c r="K231" s="8">
        <v>50567</v>
      </c>
      <c r="L231" s="7">
        <v>72779</v>
      </c>
      <c r="M231" s="7">
        <v>12935.002899187952</v>
      </c>
      <c r="N231" s="7">
        <v>15432</v>
      </c>
      <c r="O231" s="7">
        <v>21.203918712815508</v>
      </c>
      <c r="P231" s="3" t="s">
        <v>17</v>
      </c>
    </row>
    <row r="232" spans="1:16" ht="14.25" customHeight="1" thickBot="1" x14ac:dyDescent="0.4">
      <c r="A232" s="3" t="s">
        <v>398</v>
      </c>
      <c r="B232" s="3" t="s">
        <v>46</v>
      </c>
      <c r="C232" s="10">
        <v>45909</v>
      </c>
      <c r="D232" s="3" t="s">
        <v>15</v>
      </c>
      <c r="E232" s="3" t="s">
        <v>39</v>
      </c>
      <c r="F232" t="s">
        <v>551</v>
      </c>
      <c r="G232" s="7">
        <v>19260</v>
      </c>
      <c r="H232" s="7">
        <v>668</v>
      </c>
      <c r="I232" s="7">
        <v>994</v>
      </c>
      <c r="J232" s="7">
        <v>934</v>
      </c>
      <c r="K232" s="8">
        <v>20509</v>
      </c>
      <c r="L232" s="7">
        <v>61636</v>
      </c>
      <c r="M232" s="7">
        <v>19928.016126938801</v>
      </c>
      <c r="N232" s="7">
        <v>21856</v>
      </c>
      <c r="O232" s="7">
        <v>35.459796222986569</v>
      </c>
      <c r="P232" s="3" t="s">
        <v>21</v>
      </c>
    </row>
    <row r="233" spans="1:16" ht="14.25" customHeight="1" thickBot="1" x14ac:dyDescent="0.4">
      <c r="A233" s="3" t="s">
        <v>399</v>
      </c>
      <c r="B233" s="3" t="s">
        <v>19</v>
      </c>
      <c r="C233" s="10" t="s">
        <v>400</v>
      </c>
      <c r="D233" s="3" t="s">
        <v>38</v>
      </c>
      <c r="E233" s="3" t="s">
        <v>42</v>
      </c>
      <c r="F233" t="s">
        <v>552</v>
      </c>
      <c r="G233" s="7">
        <v>16277</v>
      </c>
      <c r="H233" s="7">
        <v>1109</v>
      </c>
      <c r="I233" s="7">
        <v>375</v>
      </c>
      <c r="J233" s="7">
        <v>2225</v>
      </c>
      <c r="K233" s="8">
        <v>1044</v>
      </c>
      <c r="L233" s="7">
        <v>121889</v>
      </c>
      <c r="M233" s="7">
        <v>17386.003076569665</v>
      </c>
      <c r="N233" s="7">
        <v>19986</v>
      </c>
      <c r="O233" s="7">
        <v>16.396885691079589</v>
      </c>
      <c r="P233" s="3" t="s">
        <v>32</v>
      </c>
    </row>
    <row r="234" spans="1:16" ht="14.25" customHeight="1" thickBot="1" x14ac:dyDescent="0.4">
      <c r="A234" s="3" t="s">
        <v>401</v>
      </c>
      <c r="B234" s="3" t="s">
        <v>19</v>
      </c>
      <c r="C234" s="10" t="s">
        <v>152</v>
      </c>
      <c r="D234" s="3" t="s">
        <v>15</v>
      </c>
      <c r="E234" s="3" t="s">
        <v>16</v>
      </c>
      <c r="F234" t="s">
        <v>547</v>
      </c>
      <c r="G234" s="7">
        <v>5812</v>
      </c>
      <c r="H234" s="7">
        <v>934</v>
      </c>
      <c r="I234" s="7">
        <v>302</v>
      </c>
      <c r="J234" s="7">
        <v>2356</v>
      </c>
      <c r="K234" s="8">
        <v>37437</v>
      </c>
      <c r="L234" s="7">
        <v>93551</v>
      </c>
      <c r="M234" s="7">
        <v>6746.0032281856957</v>
      </c>
      <c r="N234" s="7">
        <v>9404</v>
      </c>
      <c r="O234" s="7">
        <v>10.05227095381129</v>
      </c>
      <c r="P234" s="3" t="s">
        <v>17</v>
      </c>
    </row>
    <row r="235" spans="1:16" ht="14.25" customHeight="1" thickBot="1" x14ac:dyDescent="0.4">
      <c r="A235" s="3" t="s">
        <v>402</v>
      </c>
      <c r="B235" s="3" t="s">
        <v>19</v>
      </c>
      <c r="C235" s="10" t="s">
        <v>403</v>
      </c>
      <c r="D235" s="3" t="s">
        <v>15</v>
      </c>
      <c r="E235" s="3" t="s">
        <v>39</v>
      </c>
      <c r="F235" t="s">
        <v>551</v>
      </c>
      <c r="G235" s="7">
        <v>19844</v>
      </c>
      <c r="H235" s="7">
        <v>1022</v>
      </c>
      <c r="I235" s="7">
        <v>860</v>
      </c>
      <c r="J235" s="7">
        <v>2570</v>
      </c>
      <c r="K235" s="8">
        <v>23719</v>
      </c>
      <c r="L235" s="7">
        <v>182628</v>
      </c>
      <c r="M235" s="7">
        <v>20866.004709025998</v>
      </c>
      <c r="N235" s="7">
        <v>24296</v>
      </c>
      <c r="O235" s="7">
        <v>13.303546006088879</v>
      </c>
      <c r="P235" s="3" t="s">
        <v>27</v>
      </c>
    </row>
    <row r="236" spans="1:16" ht="14.25" customHeight="1" thickBot="1" x14ac:dyDescent="0.4">
      <c r="A236" s="3" t="s">
        <v>404</v>
      </c>
      <c r="B236" s="3" t="s">
        <v>19</v>
      </c>
      <c r="C236" s="10" t="s">
        <v>337</v>
      </c>
      <c r="D236" s="3" t="s">
        <v>25</v>
      </c>
      <c r="E236" s="3" t="s">
        <v>31</v>
      </c>
      <c r="F236" t="s">
        <v>550</v>
      </c>
      <c r="G236" s="7">
        <v>20117</v>
      </c>
      <c r="H236" s="7">
        <v>1143</v>
      </c>
      <c r="I236" s="7">
        <v>713</v>
      </c>
      <c r="J236" s="7">
        <v>1739</v>
      </c>
      <c r="K236" s="8">
        <v>34444</v>
      </c>
      <c r="L236" s="7">
        <v>198670</v>
      </c>
      <c r="M236" s="7">
        <v>21260.003588865959</v>
      </c>
      <c r="N236" s="7">
        <v>23712</v>
      </c>
      <c r="O236" s="7">
        <v>11.935370211909197</v>
      </c>
      <c r="P236" s="3" t="s">
        <v>55</v>
      </c>
    </row>
    <row r="237" spans="1:16" ht="14.25" customHeight="1" thickBot="1" x14ac:dyDescent="0.4">
      <c r="A237" s="3" t="s">
        <v>405</v>
      </c>
      <c r="B237" s="3" t="s">
        <v>19</v>
      </c>
      <c r="C237" s="10" t="s">
        <v>64</v>
      </c>
      <c r="D237" s="3" t="s">
        <v>30</v>
      </c>
      <c r="E237" s="3" t="s">
        <v>70</v>
      </c>
      <c r="F237" t="s">
        <v>555</v>
      </c>
      <c r="G237" s="7">
        <v>3605</v>
      </c>
      <c r="H237" s="7">
        <v>206</v>
      </c>
      <c r="I237" s="7">
        <v>921</v>
      </c>
      <c r="J237" s="7">
        <v>852</v>
      </c>
      <c r="K237" s="8">
        <v>11660</v>
      </c>
      <c r="L237" s="7">
        <v>182635</v>
      </c>
      <c r="M237" s="7">
        <v>3811.0050428450186</v>
      </c>
      <c r="N237" s="7">
        <v>5584</v>
      </c>
      <c r="O237" s="7">
        <v>3.0574643414460536</v>
      </c>
      <c r="P237" s="3" t="s">
        <v>32</v>
      </c>
    </row>
    <row r="238" spans="1:16" ht="14.25" customHeight="1" thickBot="1" x14ac:dyDescent="0.4">
      <c r="A238" s="3" t="s">
        <v>406</v>
      </c>
      <c r="B238" s="3" t="s">
        <v>46</v>
      </c>
      <c r="C238" s="10" t="s">
        <v>290</v>
      </c>
      <c r="D238" s="3" t="s">
        <v>38</v>
      </c>
      <c r="E238" s="3" t="s">
        <v>26</v>
      </c>
      <c r="F238" t="s">
        <v>549</v>
      </c>
      <c r="G238" s="7">
        <v>7622</v>
      </c>
      <c r="H238" s="7">
        <v>529</v>
      </c>
      <c r="I238" s="7">
        <v>720</v>
      </c>
      <c r="J238" s="7">
        <v>1015</v>
      </c>
      <c r="K238" s="8">
        <v>71322</v>
      </c>
      <c r="L238" s="7">
        <v>86819</v>
      </c>
      <c r="M238" s="7">
        <v>8151.0082931155621</v>
      </c>
      <c r="N238" s="7">
        <v>9886</v>
      </c>
      <c r="O238" s="7">
        <v>11.386908395627685</v>
      </c>
      <c r="P238" s="3" t="s">
        <v>55</v>
      </c>
    </row>
    <row r="239" spans="1:16" ht="14.25" customHeight="1" thickBot="1" x14ac:dyDescent="0.4">
      <c r="A239" s="3" t="s">
        <v>407</v>
      </c>
      <c r="B239" s="3" t="s">
        <v>46</v>
      </c>
      <c r="C239" s="10" t="s">
        <v>408</v>
      </c>
      <c r="D239" s="3" t="s">
        <v>25</v>
      </c>
      <c r="E239" s="3" t="s">
        <v>48</v>
      </c>
      <c r="F239" t="s">
        <v>553</v>
      </c>
      <c r="G239" s="7">
        <v>8767</v>
      </c>
      <c r="H239" s="7">
        <v>974</v>
      </c>
      <c r="I239" s="7">
        <v>733</v>
      </c>
      <c r="J239" s="7">
        <v>1587</v>
      </c>
      <c r="K239" s="8">
        <v>74927</v>
      </c>
      <c r="L239" s="7">
        <v>113770</v>
      </c>
      <c r="M239" s="7">
        <v>9741.0064428232399</v>
      </c>
      <c r="N239" s="7">
        <v>12061</v>
      </c>
      <c r="O239" s="7">
        <v>10.601212973543113</v>
      </c>
      <c r="P239" s="3" t="s">
        <v>17</v>
      </c>
    </row>
    <row r="240" spans="1:16" ht="14.25" customHeight="1" thickBot="1" x14ac:dyDescent="0.4">
      <c r="A240" s="3" t="s">
        <v>409</v>
      </c>
      <c r="B240" s="3" t="s">
        <v>13</v>
      </c>
      <c r="C240" s="10">
        <v>45910</v>
      </c>
      <c r="D240" s="3" t="s">
        <v>15</v>
      </c>
      <c r="E240" s="3" t="s">
        <v>20</v>
      </c>
      <c r="F240" t="s">
        <v>548</v>
      </c>
      <c r="G240" s="7">
        <v>13613</v>
      </c>
      <c r="H240" s="7">
        <v>350</v>
      </c>
      <c r="I240" s="7">
        <v>809</v>
      </c>
      <c r="J240" s="7">
        <v>2013</v>
      </c>
      <c r="K240" s="8">
        <v>20471</v>
      </c>
      <c r="L240" s="7">
        <v>198038</v>
      </c>
      <c r="M240" s="7">
        <v>13963.004085074581</v>
      </c>
      <c r="N240" s="7">
        <v>16785</v>
      </c>
      <c r="O240" s="7">
        <v>8.4756460881245008</v>
      </c>
      <c r="P240" s="3" t="s">
        <v>21</v>
      </c>
    </row>
    <row r="241" spans="1:16" ht="14.25" customHeight="1" thickBot="1" x14ac:dyDescent="0.4">
      <c r="A241" s="3" t="s">
        <v>410</v>
      </c>
      <c r="B241" s="3" t="s">
        <v>19</v>
      </c>
      <c r="C241" s="10">
        <v>45911</v>
      </c>
      <c r="D241" s="3" t="s">
        <v>30</v>
      </c>
      <c r="E241" s="3" t="s">
        <v>39</v>
      </c>
      <c r="F241" t="s">
        <v>551</v>
      </c>
      <c r="G241" s="7">
        <v>21901</v>
      </c>
      <c r="H241" s="7">
        <v>1308</v>
      </c>
      <c r="I241" s="7">
        <v>724</v>
      </c>
      <c r="J241" s="7">
        <v>2183</v>
      </c>
      <c r="K241" s="8">
        <v>15996</v>
      </c>
      <c r="L241" s="7">
        <v>230961</v>
      </c>
      <c r="M241" s="7">
        <v>23209.003134728373</v>
      </c>
      <c r="N241" s="7">
        <v>26116</v>
      </c>
      <c r="O241" s="7">
        <v>11.307536770277233</v>
      </c>
      <c r="P241" s="3" t="s">
        <v>21</v>
      </c>
    </row>
    <row r="242" spans="1:16" ht="14.25" customHeight="1" thickBot="1" x14ac:dyDescent="0.4">
      <c r="A242" s="3" t="s">
        <v>411</v>
      </c>
      <c r="B242" s="3" t="s">
        <v>46</v>
      </c>
      <c r="C242" s="10" t="s">
        <v>412</v>
      </c>
      <c r="D242" s="3" t="s">
        <v>25</v>
      </c>
      <c r="E242" s="3" t="s">
        <v>70</v>
      </c>
      <c r="F242" t="s">
        <v>555</v>
      </c>
      <c r="G242" s="7">
        <v>12589</v>
      </c>
      <c r="H242" s="7">
        <v>346</v>
      </c>
      <c r="I242" s="7">
        <v>459</v>
      </c>
      <c r="J242" s="7">
        <v>1407</v>
      </c>
      <c r="K242" s="8">
        <v>29254</v>
      </c>
      <c r="L242" s="7">
        <v>198059</v>
      </c>
      <c r="M242" s="7">
        <v>12935.002317491253</v>
      </c>
      <c r="N242" s="7">
        <v>14801</v>
      </c>
      <c r="O242" s="7">
        <v>7.4730257145598031</v>
      </c>
      <c r="P242" s="3" t="s">
        <v>27</v>
      </c>
    </row>
    <row r="243" spans="1:16" ht="14.25" customHeight="1" thickBot="1" x14ac:dyDescent="0.4">
      <c r="A243" s="3" t="s">
        <v>413</v>
      </c>
      <c r="B243" s="3" t="s">
        <v>13</v>
      </c>
      <c r="C243" s="10">
        <v>45912</v>
      </c>
      <c r="D243" s="3" t="s">
        <v>30</v>
      </c>
      <c r="E243" s="3" t="s">
        <v>39</v>
      </c>
      <c r="F243" t="s">
        <v>551</v>
      </c>
      <c r="G243" s="7">
        <v>15918</v>
      </c>
      <c r="H243" s="7">
        <v>1114</v>
      </c>
      <c r="I243" s="7">
        <v>392</v>
      </c>
      <c r="J243" s="7">
        <v>1641</v>
      </c>
      <c r="K243" s="8">
        <v>28044</v>
      </c>
      <c r="L243" s="7">
        <v>118714</v>
      </c>
      <c r="M243" s="7">
        <v>17032.003302053676</v>
      </c>
      <c r="N243" s="7">
        <v>19065</v>
      </c>
      <c r="O243" s="7">
        <v>16.059605438280236</v>
      </c>
      <c r="P243" s="3" t="s">
        <v>21</v>
      </c>
    </row>
    <row r="244" spans="1:16" ht="14.25" customHeight="1" thickBot="1" x14ac:dyDescent="0.4">
      <c r="A244" s="3" t="s">
        <v>414</v>
      </c>
      <c r="B244" s="3" t="s">
        <v>19</v>
      </c>
      <c r="C244" s="10" t="s">
        <v>415</v>
      </c>
      <c r="D244" s="3" t="s">
        <v>25</v>
      </c>
      <c r="E244" s="3" t="s">
        <v>48</v>
      </c>
      <c r="F244" t="s">
        <v>553</v>
      </c>
      <c r="G244" s="7">
        <v>22119</v>
      </c>
      <c r="H244" s="7">
        <v>899</v>
      </c>
      <c r="I244" s="7">
        <v>642</v>
      </c>
      <c r="J244" s="7">
        <v>410</v>
      </c>
      <c r="K244" s="8">
        <v>49490</v>
      </c>
      <c r="L244" s="7">
        <v>229420</v>
      </c>
      <c r="M244" s="7">
        <v>23018.002798361085</v>
      </c>
      <c r="N244" s="7">
        <v>24070</v>
      </c>
      <c r="O244" s="7">
        <v>10.491674657832796</v>
      </c>
      <c r="P244" s="3" t="s">
        <v>32</v>
      </c>
    </row>
    <row r="245" spans="1:16" ht="14.25" customHeight="1" thickBot="1" x14ac:dyDescent="0.4">
      <c r="A245" s="3" t="s">
        <v>416</v>
      </c>
      <c r="B245" s="3" t="s">
        <v>23</v>
      </c>
      <c r="C245" s="10">
        <v>45913</v>
      </c>
      <c r="D245" s="3" t="s">
        <v>30</v>
      </c>
      <c r="E245" s="3" t="s">
        <v>70</v>
      </c>
      <c r="F245" t="s">
        <v>555</v>
      </c>
      <c r="G245" s="7">
        <v>15046</v>
      </c>
      <c r="H245" s="7">
        <v>281</v>
      </c>
      <c r="I245" s="7">
        <v>515</v>
      </c>
      <c r="J245" s="7">
        <v>550</v>
      </c>
      <c r="K245" s="8">
        <v>22583</v>
      </c>
      <c r="L245" s="7">
        <v>64596</v>
      </c>
      <c r="M245" s="7">
        <v>15327.007972629885</v>
      </c>
      <c r="N245" s="7">
        <v>16392</v>
      </c>
      <c r="O245" s="7">
        <v>25.376184283856585</v>
      </c>
      <c r="P245" s="3" t="s">
        <v>21</v>
      </c>
    </row>
    <row r="246" spans="1:16" ht="14.25" customHeight="1" thickBot="1" x14ac:dyDescent="0.4">
      <c r="A246" s="3" t="s">
        <v>417</v>
      </c>
      <c r="B246" s="3" t="s">
        <v>13</v>
      </c>
      <c r="C246" s="10" t="s">
        <v>418</v>
      </c>
      <c r="D246" s="3" t="s">
        <v>15</v>
      </c>
      <c r="E246" s="3" t="s">
        <v>31</v>
      </c>
      <c r="F246" t="s">
        <v>550</v>
      </c>
      <c r="G246" s="7">
        <v>4590</v>
      </c>
      <c r="H246" s="7">
        <v>713</v>
      </c>
      <c r="I246" s="7">
        <v>479</v>
      </c>
      <c r="J246" s="7">
        <v>2730</v>
      </c>
      <c r="K246" s="8">
        <v>41050</v>
      </c>
      <c r="L246" s="7">
        <v>204246</v>
      </c>
      <c r="M246" s="7">
        <v>5303.0023452111673</v>
      </c>
      <c r="N246" s="7">
        <v>8512</v>
      </c>
      <c r="O246" s="7">
        <v>4.1675234765919527</v>
      </c>
      <c r="P246" s="3" t="s">
        <v>27</v>
      </c>
    </row>
    <row r="247" spans="1:16" ht="14.25" customHeight="1" thickBot="1" x14ac:dyDescent="0.4">
      <c r="A247" s="3" t="s">
        <v>419</v>
      </c>
      <c r="B247" s="3" t="s">
        <v>46</v>
      </c>
      <c r="C247" s="10" t="s">
        <v>420</v>
      </c>
      <c r="D247" s="3" t="s">
        <v>38</v>
      </c>
      <c r="E247" s="3" t="s">
        <v>48</v>
      </c>
      <c r="F247" t="s">
        <v>553</v>
      </c>
      <c r="G247" s="7">
        <v>19447</v>
      </c>
      <c r="H247" s="7">
        <v>1014</v>
      </c>
      <c r="I247" s="7">
        <v>256</v>
      </c>
      <c r="J247" s="7">
        <v>2354</v>
      </c>
      <c r="K247" s="8">
        <v>5472</v>
      </c>
      <c r="L247" s="7">
        <v>104106</v>
      </c>
      <c r="M247" s="7">
        <v>20461.002459032141</v>
      </c>
      <c r="N247" s="7">
        <v>23071</v>
      </c>
      <c r="O247" s="7">
        <v>22.161066605190864</v>
      </c>
      <c r="P247" s="3" t="s">
        <v>17</v>
      </c>
    </row>
    <row r="248" spans="1:16" ht="14.25" customHeight="1" thickBot="1" x14ac:dyDescent="0.4">
      <c r="A248" s="3" t="s">
        <v>421</v>
      </c>
      <c r="B248" s="3" t="s">
        <v>23</v>
      </c>
      <c r="C248" s="10" t="s">
        <v>422</v>
      </c>
      <c r="D248" s="3" t="s">
        <v>15</v>
      </c>
      <c r="E248" s="3" t="s">
        <v>85</v>
      </c>
      <c r="F248" t="s">
        <v>546</v>
      </c>
      <c r="G248" s="7">
        <v>6324</v>
      </c>
      <c r="H248" s="7">
        <v>908</v>
      </c>
      <c r="I248" s="7">
        <v>375</v>
      </c>
      <c r="J248" s="7">
        <v>758</v>
      </c>
      <c r="K248" s="8">
        <v>34850</v>
      </c>
      <c r="L248" s="7">
        <v>241039</v>
      </c>
      <c r="M248" s="7">
        <v>7232.0015557648348</v>
      </c>
      <c r="N248" s="7">
        <v>8365</v>
      </c>
      <c r="O248" s="7">
        <v>3.470392758018412</v>
      </c>
      <c r="P248" s="3" t="s">
        <v>17</v>
      </c>
    </row>
    <row r="249" spans="1:16" ht="14.25" customHeight="1" thickBot="1" x14ac:dyDescent="0.4">
      <c r="A249" s="3" t="s">
        <v>423</v>
      </c>
      <c r="B249" s="3" t="s">
        <v>23</v>
      </c>
      <c r="C249" s="10">
        <v>45914</v>
      </c>
      <c r="D249" s="3" t="s">
        <v>38</v>
      </c>
      <c r="E249" s="3" t="s">
        <v>62</v>
      </c>
      <c r="F249" t="s">
        <v>554</v>
      </c>
      <c r="G249" s="7">
        <v>12787</v>
      </c>
      <c r="H249" s="7">
        <v>945</v>
      </c>
      <c r="I249" s="7">
        <v>974</v>
      </c>
      <c r="J249" s="7">
        <v>1407</v>
      </c>
      <c r="K249" s="8">
        <v>4037</v>
      </c>
      <c r="L249" s="7">
        <v>99182</v>
      </c>
      <c r="M249" s="7">
        <v>13732.009820330302</v>
      </c>
      <c r="N249" s="7">
        <v>16113</v>
      </c>
      <c r="O249" s="7">
        <v>16.24589139158315</v>
      </c>
      <c r="P249" s="3" t="s">
        <v>21</v>
      </c>
    </row>
    <row r="250" spans="1:16" ht="14.25" customHeight="1" thickBot="1" x14ac:dyDescent="0.4">
      <c r="A250" s="3" t="s">
        <v>424</v>
      </c>
      <c r="B250" s="3" t="s">
        <v>23</v>
      </c>
      <c r="C250" s="10" t="s">
        <v>425</v>
      </c>
      <c r="D250" s="3" t="s">
        <v>30</v>
      </c>
      <c r="E250" s="3" t="s">
        <v>85</v>
      </c>
      <c r="F250" t="s">
        <v>546</v>
      </c>
      <c r="G250" s="7">
        <v>11111</v>
      </c>
      <c r="H250" s="7">
        <v>1222</v>
      </c>
      <c r="I250" s="7">
        <v>367</v>
      </c>
      <c r="J250" s="7">
        <v>507</v>
      </c>
      <c r="K250" s="8">
        <v>14129</v>
      </c>
      <c r="L250" s="7">
        <v>127163</v>
      </c>
      <c r="M250" s="7">
        <v>12333.002886059625</v>
      </c>
      <c r="N250" s="7">
        <v>13207</v>
      </c>
      <c r="O250" s="7">
        <v>10.38588268600143</v>
      </c>
      <c r="P250" s="3" t="s">
        <v>55</v>
      </c>
    </row>
    <row r="251" spans="1:16" ht="14.25" customHeight="1" thickBot="1" x14ac:dyDescent="0.4">
      <c r="A251" s="3" t="s">
        <v>426</v>
      </c>
      <c r="B251" s="3" t="s">
        <v>13</v>
      </c>
      <c r="C251" s="10" t="s">
        <v>134</v>
      </c>
      <c r="D251" s="3" t="s">
        <v>25</v>
      </c>
      <c r="E251" s="3" t="s">
        <v>42</v>
      </c>
      <c r="F251" t="s">
        <v>552</v>
      </c>
      <c r="G251" s="7">
        <v>7342</v>
      </c>
      <c r="H251" s="7">
        <v>906</v>
      </c>
      <c r="I251" s="7">
        <v>902</v>
      </c>
      <c r="J251" s="7">
        <v>1199</v>
      </c>
      <c r="K251" s="8">
        <v>68488</v>
      </c>
      <c r="L251" s="7">
        <v>79310</v>
      </c>
      <c r="M251" s="7">
        <v>8248.0113730929261</v>
      </c>
      <c r="N251" s="7">
        <v>10349</v>
      </c>
      <c r="O251" s="7">
        <v>13.048795864329845</v>
      </c>
      <c r="P251" s="3" t="s">
        <v>17</v>
      </c>
    </row>
    <row r="252" spans="1:16" ht="14.25" customHeight="1" thickBot="1" x14ac:dyDescent="0.4">
      <c r="A252" s="3" t="s">
        <v>427</v>
      </c>
      <c r="B252" s="3" t="s">
        <v>46</v>
      </c>
      <c r="C252" s="10">
        <v>45915</v>
      </c>
      <c r="D252" s="3" t="s">
        <v>15</v>
      </c>
      <c r="E252" s="3" t="s">
        <v>39</v>
      </c>
      <c r="F252" t="s">
        <v>551</v>
      </c>
      <c r="G252" s="7">
        <v>18389</v>
      </c>
      <c r="H252" s="7">
        <v>670</v>
      </c>
      <c r="I252" s="7">
        <v>655</v>
      </c>
      <c r="J252" s="7">
        <v>321</v>
      </c>
      <c r="K252" s="8">
        <v>21869</v>
      </c>
      <c r="L252" s="7">
        <v>96088</v>
      </c>
      <c r="M252" s="7">
        <v>19059.006816668054</v>
      </c>
      <c r="N252" s="7">
        <v>20035</v>
      </c>
      <c r="O252" s="7">
        <v>20.850678544667389</v>
      </c>
      <c r="P252" s="3" t="s">
        <v>21</v>
      </c>
    </row>
    <row r="253" spans="1:16" ht="14.25" customHeight="1" thickBot="1" x14ac:dyDescent="0.4">
      <c r="A253" s="3" t="s">
        <v>428</v>
      </c>
      <c r="B253" s="3" t="s">
        <v>23</v>
      </c>
      <c r="C253" s="10" t="s">
        <v>313</v>
      </c>
      <c r="D253" s="3" t="s">
        <v>38</v>
      </c>
      <c r="E253" s="3" t="s">
        <v>62</v>
      </c>
      <c r="F253" t="s">
        <v>554</v>
      </c>
      <c r="G253" s="7">
        <v>10659</v>
      </c>
      <c r="H253" s="7">
        <v>1342</v>
      </c>
      <c r="I253" s="7">
        <v>408</v>
      </c>
      <c r="J253" s="7">
        <v>709</v>
      </c>
      <c r="K253" s="8">
        <v>16309</v>
      </c>
      <c r="L253" s="7">
        <v>168803</v>
      </c>
      <c r="M253" s="7">
        <v>12001.002417018655</v>
      </c>
      <c r="N253" s="7">
        <v>13118</v>
      </c>
      <c r="O253" s="7">
        <v>7.7711889006711967</v>
      </c>
      <c r="P253" s="3" t="s">
        <v>27</v>
      </c>
    </row>
    <row r="254" spans="1:16" ht="14.25" customHeight="1" thickBot="1" x14ac:dyDescent="0.4">
      <c r="A254" s="3" t="s">
        <v>429</v>
      </c>
      <c r="B254" s="3" t="s">
        <v>19</v>
      </c>
      <c r="C254" s="10">
        <v>45916</v>
      </c>
      <c r="D254" s="3" t="s">
        <v>15</v>
      </c>
      <c r="E254" s="3" t="s">
        <v>85</v>
      </c>
      <c r="F254" t="s">
        <v>546</v>
      </c>
      <c r="G254" s="7">
        <v>16043</v>
      </c>
      <c r="H254" s="7">
        <v>595</v>
      </c>
      <c r="I254" s="7">
        <v>923</v>
      </c>
      <c r="J254" s="7">
        <v>1194</v>
      </c>
      <c r="K254" s="8">
        <v>52613</v>
      </c>
      <c r="L254" s="7">
        <v>179978</v>
      </c>
      <c r="M254" s="7">
        <v>16638.005128404584</v>
      </c>
      <c r="N254" s="7">
        <v>18755</v>
      </c>
      <c r="O254" s="7">
        <v>10.420718087766282</v>
      </c>
      <c r="P254" s="3" t="s">
        <v>21</v>
      </c>
    </row>
    <row r="255" spans="1:16" ht="14.25" customHeight="1" thickBot="1" x14ac:dyDescent="0.4">
      <c r="A255" s="3" t="s">
        <v>430</v>
      </c>
      <c r="B255" s="3" t="s">
        <v>23</v>
      </c>
      <c r="C255" s="10" t="s">
        <v>431</v>
      </c>
      <c r="D255" s="3" t="s">
        <v>38</v>
      </c>
      <c r="E255" s="3" t="s">
        <v>62</v>
      </c>
      <c r="F255" t="s">
        <v>554</v>
      </c>
      <c r="G255" s="7">
        <v>24350</v>
      </c>
      <c r="H255" s="7">
        <v>460</v>
      </c>
      <c r="I255" s="7">
        <v>666</v>
      </c>
      <c r="J255" s="7">
        <v>814</v>
      </c>
      <c r="K255" s="8">
        <v>21120</v>
      </c>
      <c r="L255" s="7">
        <v>76914</v>
      </c>
      <c r="M255" s="7">
        <v>24810.008659021765</v>
      </c>
      <c r="N255" s="7">
        <v>26290</v>
      </c>
      <c r="O255" s="7">
        <v>34.181033361936706</v>
      </c>
      <c r="P255" s="3" t="s">
        <v>17</v>
      </c>
    </row>
    <row r="256" spans="1:16" ht="14.25" customHeight="1" thickBot="1" x14ac:dyDescent="0.4">
      <c r="A256" s="3" t="s">
        <v>432</v>
      </c>
      <c r="B256" s="3" t="s">
        <v>23</v>
      </c>
      <c r="C256" s="10" t="s">
        <v>433</v>
      </c>
      <c r="D256" s="3" t="s">
        <v>15</v>
      </c>
      <c r="E256" s="3" t="s">
        <v>169</v>
      </c>
      <c r="F256" t="s">
        <v>556</v>
      </c>
      <c r="G256" s="7">
        <v>10837</v>
      </c>
      <c r="H256" s="7">
        <v>1004</v>
      </c>
      <c r="I256" s="7">
        <v>922</v>
      </c>
      <c r="J256" s="7">
        <v>1108</v>
      </c>
      <c r="K256" s="8">
        <v>36807</v>
      </c>
      <c r="L256" s="7">
        <v>150350</v>
      </c>
      <c r="M256" s="7">
        <v>11841.006132357832</v>
      </c>
      <c r="N256" s="7">
        <v>13871</v>
      </c>
      <c r="O256" s="7">
        <v>9.2258064516129021</v>
      </c>
      <c r="P256" s="3" t="s">
        <v>27</v>
      </c>
    </row>
    <row r="257" spans="1:16" ht="14.25" customHeight="1" thickBot="1" x14ac:dyDescent="0.4">
      <c r="A257" s="3" t="s">
        <v>434</v>
      </c>
      <c r="B257" s="3" t="s">
        <v>13</v>
      </c>
      <c r="C257" s="10">
        <v>45917</v>
      </c>
      <c r="D257" s="3" t="s">
        <v>38</v>
      </c>
      <c r="E257" s="3" t="s">
        <v>39</v>
      </c>
      <c r="F257" t="s">
        <v>551</v>
      </c>
      <c r="G257" s="7">
        <v>2117</v>
      </c>
      <c r="H257" s="7">
        <v>1133</v>
      </c>
      <c r="I257" s="7">
        <v>203</v>
      </c>
      <c r="J257" s="7">
        <v>1173</v>
      </c>
      <c r="K257" s="8">
        <v>40125</v>
      </c>
      <c r="L257" s="7">
        <v>85379</v>
      </c>
      <c r="M257" s="7">
        <v>3250.0023776338444</v>
      </c>
      <c r="N257" s="7">
        <v>4626</v>
      </c>
      <c r="O257" s="7">
        <v>5.4181941695264646</v>
      </c>
      <c r="P257" s="3" t="s">
        <v>21</v>
      </c>
    </row>
    <row r="258" spans="1:16" ht="14.25" customHeight="1" thickBot="1" x14ac:dyDescent="0.4">
      <c r="A258" s="3" t="s">
        <v>435</v>
      </c>
      <c r="B258" s="3" t="s">
        <v>13</v>
      </c>
      <c r="C258" s="10" t="s">
        <v>243</v>
      </c>
      <c r="D258" s="3" t="s">
        <v>38</v>
      </c>
      <c r="E258" s="3" t="s">
        <v>62</v>
      </c>
      <c r="F258" t="s">
        <v>554</v>
      </c>
      <c r="G258" s="7">
        <v>15917</v>
      </c>
      <c r="H258" s="7">
        <v>1479</v>
      </c>
      <c r="I258" s="7">
        <v>196</v>
      </c>
      <c r="J258" s="7">
        <v>313</v>
      </c>
      <c r="K258" s="8">
        <v>48524</v>
      </c>
      <c r="L258" s="7">
        <v>249684</v>
      </c>
      <c r="M258" s="7">
        <v>17396.000784992229</v>
      </c>
      <c r="N258" s="7">
        <v>17905</v>
      </c>
      <c r="O258" s="7">
        <v>7.1710642251806291</v>
      </c>
      <c r="P258" s="3" t="s">
        <v>32</v>
      </c>
    </row>
    <row r="259" spans="1:16" ht="14.25" customHeight="1" thickBot="1" x14ac:dyDescent="0.4">
      <c r="A259" s="3" t="s">
        <v>436</v>
      </c>
      <c r="B259" s="3" t="s">
        <v>46</v>
      </c>
      <c r="C259" s="10" t="s">
        <v>437</v>
      </c>
      <c r="D259" s="3" t="s">
        <v>30</v>
      </c>
      <c r="E259" s="3" t="s">
        <v>16</v>
      </c>
      <c r="F259" t="s">
        <v>547</v>
      </c>
      <c r="G259" s="7">
        <v>20935</v>
      </c>
      <c r="H259" s="7">
        <v>1104</v>
      </c>
      <c r="I259" s="7">
        <v>876</v>
      </c>
      <c r="J259" s="7">
        <v>1270</v>
      </c>
      <c r="K259" s="8">
        <v>21454</v>
      </c>
      <c r="L259" s="7">
        <v>208722</v>
      </c>
      <c r="M259" s="7">
        <v>22039.004196970134</v>
      </c>
      <c r="N259" s="7">
        <v>24185</v>
      </c>
      <c r="O259" s="7">
        <v>11.587182951485708</v>
      </c>
      <c r="P259" s="3" t="s">
        <v>27</v>
      </c>
    </row>
    <row r="260" spans="1:16" ht="14.25" customHeight="1" thickBot="1" x14ac:dyDescent="0.4">
      <c r="A260" s="3" t="s">
        <v>438</v>
      </c>
      <c r="B260" s="3" t="s">
        <v>19</v>
      </c>
      <c r="C260" s="10" t="s">
        <v>439</v>
      </c>
      <c r="D260" s="3" t="s">
        <v>38</v>
      </c>
      <c r="E260" s="3" t="s">
        <v>20</v>
      </c>
      <c r="F260" t="s">
        <v>548</v>
      </c>
      <c r="G260" s="7">
        <v>16309</v>
      </c>
      <c r="H260" s="7">
        <v>1449</v>
      </c>
      <c r="I260" s="7">
        <v>838</v>
      </c>
      <c r="J260" s="7">
        <v>2434</v>
      </c>
      <c r="K260" s="8">
        <v>2940</v>
      </c>
      <c r="L260" s="7">
        <v>217953</v>
      </c>
      <c r="M260" s="7">
        <v>17758.003844865638</v>
      </c>
      <c r="N260" s="7">
        <v>21030</v>
      </c>
      <c r="O260" s="7">
        <v>9.6488692516276444</v>
      </c>
      <c r="P260" s="3" t="s">
        <v>32</v>
      </c>
    </row>
    <row r="261" spans="1:16" ht="14.25" customHeight="1" thickBot="1" x14ac:dyDescent="0.4">
      <c r="A261" s="3" t="s">
        <v>440</v>
      </c>
      <c r="B261" s="3" t="s">
        <v>13</v>
      </c>
      <c r="C261" s="10" t="s">
        <v>441</v>
      </c>
      <c r="D261" s="3" t="s">
        <v>30</v>
      </c>
      <c r="E261" s="3" t="s">
        <v>20</v>
      </c>
      <c r="F261" t="s">
        <v>548</v>
      </c>
      <c r="G261" s="7">
        <v>15234</v>
      </c>
      <c r="H261" s="7">
        <v>1276</v>
      </c>
      <c r="I261" s="7">
        <v>670</v>
      </c>
      <c r="J261" s="7">
        <v>1860</v>
      </c>
      <c r="K261" s="8">
        <v>60397</v>
      </c>
      <c r="L261" s="7">
        <v>86413</v>
      </c>
      <c r="M261" s="7">
        <v>16510.007753463022</v>
      </c>
      <c r="N261" s="7">
        <v>19040</v>
      </c>
      <c r="O261" s="7">
        <v>22.033721777973224</v>
      </c>
      <c r="P261" s="3" t="s">
        <v>55</v>
      </c>
    </row>
    <row r="262" spans="1:16" ht="14.25" customHeight="1" thickBot="1" x14ac:dyDescent="0.4">
      <c r="A262" s="3" t="s">
        <v>442</v>
      </c>
      <c r="B262" s="3" t="s">
        <v>23</v>
      </c>
      <c r="C262" s="10" t="s">
        <v>443</v>
      </c>
      <c r="D262" s="3" t="s">
        <v>38</v>
      </c>
      <c r="E262" s="3" t="s">
        <v>16</v>
      </c>
      <c r="F262" t="s">
        <v>547</v>
      </c>
      <c r="G262" s="7">
        <v>7560</v>
      </c>
      <c r="H262" s="7">
        <v>1139</v>
      </c>
      <c r="I262" s="7">
        <v>248</v>
      </c>
      <c r="J262" s="7">
        <v>1624</v>
      </c>
      <c r="K262" s="8">
        <v>72237</v>
      </c>
      <c r="L262" s="7">
        <v>177084</v>
      </c>
      <c r="M262" s="7">
        <v>8699.0014004653167</v>
      </c>
      <c r="N262" s="7">
        <v>10571</v>
      </c>
      <c r="O262" s="7">
        <v>5.9694834090036366</v>
      </c>
      <c r="P262" s="3" t="s">
        <v>27</v>
      </c>
    </row>
    <row r="263" spans="1:16" ht="14.25" customHeight="1" thickBot="1" x14ac:dyDescent="0.4">
      <c r="A263" s="3" t="s">
        <v>444</v>
      </c>
      <c r="B263" s="3" t="s">
        <v>46</v>
      </c>
      <c r="C263" s="10" t="s">
        <v>412</v>
      </c>
      <c r="D263" s="3" t="s">
        <v>25</v>
      </c>
      <c r="E263" s="3" t="s">
        <v>70</v>
      </c>
      <c r="F263" t="s">
        <v>555</v>
      </c>
      <c r="G263" s="7">
        <v>22673</v>
      </c>
      <c r="H263" s="7">
        <v>1053</v>
      </c>
      <c r="I263" s="7">
        <v>169</v>
      </c>
      <c r="J263" s="7">
        <v>1566</v>
      </c>
      <c r="K263" s="8">
        <v>9417</v>
      </c>
      <c r="L263" s="7">
        <v>221187</v>
      </c>
      <c r="M263" s="7">
        <v>23726.000764059372</v>
      </c>
      <c r="N263" s="7">
        <v>25461</v>
      </c>
      <c r="O263" s="7">
        <v>11.511074339812016</v>
      </c>
      <c r="P263" s="3" t="s">
        <v>32</v>
      </c>
    </row>
    <row r="264" spans="1:16" ht="14.25" customHeight="1" thickBot="1" x14ac:dyDescent="0.4">
      <c r="A264" s="3" t="s">
        <v>445</v>
      </c>
      <c r="B264" s="3" t="s">
        <v>23</v>
      </c>
      <c r="C264" s="10" t="s">
        <v>446</v>
      </c>
      <c r="D264" s="3" t="s">
        <v>25</v>
      </c>
      <c r="E264" s="3" t="s">
        <v>35</v>
      </c>
      <c r="F264" t="s">
        <v>545</v>
      </c>
      <c r="G264" s="7">
        <v>2846</v>
      </c>
      <c r="H264" s="7">
        <v>792</v>
      </c>
      <c r="I264" s="7">
        <v>902</v>
      </c>
      <c r="J264" s="7">
        <v>2469</v>
      </c>
      <c r="K264" s="8">
        <v>12130</v>
      </c>
      <c r="L264" s="7">
        <v>47151</v>
      </c>
      <c r="M264" s="7">
        <v>3638.0191300290558</v>
      </c>
      <c r="N264" s="7">
        <v>7009</v>
      </c>
      <c r="O264" s="7">
        <v>14.865008165256304</v>
      </c>
      <c r="P264" s="3" t="s">
        <v>17</v>
      </c>
    </row>
    <row r="265" spans="1:16" ht="14.25" customHeight="1" thickBot="1" x14ac:dyDescent="0.4">
      <c r="A265" s="3" t="s">
        <v>447</v>
      </c>
      <c r="B265" s="3" t="s">
        <v>23</v>
      </c>
      <c r="C265" s="10" t="s">
        <v>448</v>
      </c>
      <c r="D265" s="3" t="s">
        <v>25</v>
      </c>
      <c r="E265" s="3" t="s">
        <v>70</v>
      </c>
      <c r="F265" t="s">
        <v>555</v>
      </c>
      <c r="G265" s="7">
        <v>12954</v>
      </c>
      <c r="H265" s="7">
        <v>913</v>
      </c>
      <c r="I265" s="7">
        <v>722</v>
      </c>
      <c r="J265" s="7">
        <v>1049</v>
      </c>
      <c r="K265" s="8">
        <v>475</v>
      </c>
      <c r="L265" s="7">
        <v>97716</v>
      </c>
      <c r="M265" s="7">
        <v>13867.007388759261</v>
      </c>
      <c r="N265" s="7">
        <v>15638</v>
      </c>
      <c r="O265" s="7">
        <v>16.003520406074749</v>
      </c>
      <c r="P265" s="3" t="s">
        <v>17</v>
      </c>
    </row>
    <row r="266" spans="1:16" ht="14.25" customHeight="1" thickBot="1" x14ac:dyDescent="0.4">
      <c r="A266" s="3" t="s">
        <v>449</v>
      </c>
      <c r="B266" s="3" t="s">
        <v>13</v>
      </c>
      <c r="C266" s="10" t="s">
        <v>450</v>
      </c>
      <c r="D266" s="3" t="s">
        <v>38</v>
      </c>
      <c r="E266" s="3" t="s">
        <v>48</v>
      </c>
      <c r="F266" t="s">
        <v>553</v>
      </c>
      <c r="G266" s="7">
        <v>15703</v>
      </c>
      <c r="H266" s="7">
        <v>1381</v>
      </c>
      <c r="I266" s="7">
        <v>639</v>
      </c>
      <c r="J266" s="7">
        <v>984</v>
      </c>
      <c r="K266" s="8">
        <v>10967</v>
      </c>
      <c r="L266" s="7">
        <v>133747</v>
      </c>
      <c r="M266" s="7">
        <v>17084.004777677255</v>
      </c>
      <c r="N266" s="7">
        <v>18707</v>
      </c>
      <c r="O266" s="7">
        <v>13.986855779942728</v>
      </c>
      <c r="P266" s="3" t="s">
        <v>55</v>
      </c>
    </row>
    <row r="267" spans="1:16" ht="14.25" customHeight="1" thickBot="1" x14ac:dyDescent="0.4">
      <c r="A267" s="3" t="s">
        <v>451</v>
      </c>
      <c r="B267" s="3" t="s">
        <v>46</v>
      </c>
      <c r="C267" s="10" t="s">
        <v>452</v>
      </c>
      <c r="D267" s="3" t="s">
        <v>30</v>
      </c>
      <c r="E267" s="3" t="s">
        <v>48</v>
      </c>
      <c r="F267" t="s">
        <v>553</v>
      </c>
      <c r="G267" s="7">
        <v>17385</v>
      </c>
      <c r="H267" s="7">
        <v>831</v>
      </c>
      <c r="I267" s="7">
        <v>568</v>
      </c>
      <c r="J267" s="7">
        <v>2227</v>
      </c>
      <c r="K267" s="8">
        <v>49351</v>
      </c>
      <c r="L267" s="7">
        <v>207450</v>
      </c>
      <c r="M267" s="7">
        <v>18216.00273800916</v>
      </c>
      <c r="N267" s="7">
        <v>21011</v>
      </c>
      <c r="O267" s="7">
        <v>10.128223668353819</v>
      </c>
      <c r="P267" s="3" t="s">
        <v>27</v>
      </c>
    </row>
    <row r="268" spans="1:16" ht="14.25" customHeight="1" thickBot="1" x14ac:dyDescent="0.4">
      <c r="A268" s="3" t="s">
        <v>453</v>
      </c>
      <c r="B268" s="3" t="s">
        <v>19</v>
      </c>
      <c r="C268" s="10" t="s">
        <v>342</v>
      </c>
      <c r="D268" s="3" t="s">
        <v>30</v>
      </c>
      <c r="E268" s="3" t="s">
        <v>62</v>
      </c>
      <c r="F268" t="s">
        <v>554</v>
      </c>
      <c r="G268" s="7">
        <v>15746</v>
      </c>
      <c r="H268" s="7">
        <v>258</v>
      </c>
      <c r="I268" s="7">
        <v>839</v>
      </c>
      <c r="J268" s="7">
        <v>2656</v>
      </c>
      <c r="K268" s="8">
        <v>66614</v>
      </c>
      <c r="L268" s="7">
        <v>213724</v>
      </c>
      <c r="M268" s="7">
        <v>16004.003925623701</v>
      </c>
      <c r="N268" s="7">
        <v>19499</v>
      </c>
      <c r="O268" s="7">
        <v>9.1234489341393576</v>
      </c>
      <c r="P268" s="3" t="s">
        <v>27</v>
      </c>
    </row>
    <row r="269" spans="1:16" ht="14.25" customHeight="1" thickBot="1" x14ac:dyDescent="0.4">
      <c r="A269" s="3" t="s">
        <v>454</v>
      </c>
      <c r="B269" s="3" t="s">
        <v>19</v>
      </c>
      <c r="C269" s="10" t="s">
        <v>455</v>
      </c>
      <c r="D269" s="3" t="s">
        <v>38</v>
      </c>
      <c r="E269" s="3" t="s">
        <v>85</v>
      </c>
      <c r="F269" t="s">
        <v>546</v>
      </c>
      <c r="G269" s="7">
        <v>24700</v>
      </c>
      <c r="H269" s="7">
        <v>327</v>
      </c>
      <c r="I269" s="7">
        <v>999</v>
      </c>
      <c r="J269" s="7">
        <v>994</v>
      </c>
      <c r="K269" s="8">
        <v>59400</v>
      </c>
      <c r="L269" s="7">
        <v>243502</v>
      </c>
      <c r="M269" s="7">
        <v>25027.004102635707</v>
      </c>
      <c r="N269" s="7">
        <v>27020</v>
      </c>
      <c r="O269" s="7">
        <v>11.096418099235326</v>
      </c>
      <c r="P269" s="3" t="s">
        <v>27</v>
      </c>
    </row>
    <row r="270" spans="1:16" ht="14.25" customHeight="1" thickBot="1" x14ac:dyDescent="0.4">
      <c r="A270" s="3" t="s">
        <v>456</v>
      </c>
      <c r="B270" s="3" t="s">
        <v>13</v>
      </c>
      <c r="C270" s="10" t="s">
        <v>457</v>
      </c>
      <c r="D270" s="3" t="s">
        <v>25</v>
      </c>
      <c r="E270" s="3" t="s">
        <v>85</v>
      </c>
      <c r="F270" t="s">
        <v>546</v>
      </c>
      <c r="G270" s="7">
        <v>8469</v>
      </c>
      <c r="H270" s="7">
        <v>935</v>
      </c>
      <c r="I270" s="7">
        <v>211</v>
      </c>
      <c r="J270" s="7">
        <v>2635</v>
      </c>
      <c r="K270" s="8">
        <v>21890</v>
      </c>
      <c r="L270" s="7">
        <v>184539</v>
      </c>
      <c r="M270" s="7">
        <v>9404.0011433897434</v>
      </c>
      <c r="N270" s="7">
        <v>12250</v>
      </c>
      <c r="O270" s="7">
        <v>6.6381632066934353</v>
      </c>
      <c r="P270" s="3" t="s">
        <v>55</v>
      </c>
    </row>
    <row r="271" spans="1:16" ht="14.25" customHeight="1" thickBot="1" x14ac:dyDescent="0.4">
      <c r="A271" s="3" t="s">
        <v>458</v>
      </c>
      <c r="B271" s="3" t="s">
        <v>13</v>
      </c>
      <c r="C271" s="10" t="s">
        <v>357</v>
      </c>
      <c r="D271" s="3" t="s">
        <v>25</v>
      </c>
      <c r="E271" s="3" t="s">
        <v>20</v>
      </c>
      <c r="F271" t="s">
        <v>548</v>
      </c>
      <c r="G271" s="7">
        <v>11333</v>
      </c>
      <c r="H271" s="7">
        <v>920</v>
      </c>
      <c r="I271" s="7">
        <v>294</v>
      </c>
      <c r="J271" s="7">
        <v>606</v>
      </c>
      <c r="K271" s="8">
        <v>59490</v>
      </c>
      <c r="L271" s="7">
        <v>202082</v>
      </c>
      <c r="M271" s="7">
        <v>12253.001454854961</v>
      </c>
      <c r="N271" s="7">
        <v>13153</v>
      </c>
      <c r="O271" s="7">
        <v>6.5087439752179801</v>
      </c>
      <c r="P271" s="3" t="s">
        <v>27</v>
      </c>
    </row>
    <row r="272" spans="1:16" ht="14.25" customHeight="1" thickBot="1" x14ac:dyDescent="0.4">
      <c r="A272" s="3" t="s">
        <v>459</v>
      </c>
      <c r="B272" s="3" t="s">
        <v>46</v>
      </c>
      <c r="C272" s="10" t="s">
        <v>460</v>
      </c>
      <c r="D272" s="3" t="s">
        <v>30</v>
      </c>
      <c r="E272" s="3" t="s">
        <v>26</v>
      </c>
      <c r="F272" t="s">
        <v>549</v>
      </c>
      <c r="G272" s="7">
        <v>18608</v>
      </c>
      <c r="H272" s="7">
        <v>1338</v>
      </c>
      <c r="I272" s="7">
        <v>365</v>
      </c>
      <c r="J272" s="7">
        <v>2289</v>
      </c>
      <c r="K272" s="8">
        <v>20785</v>
      </c>
      <c r="L272" s="7">
        <v>161999</v>
      </c>
      <c r="M272" s="7">
        <v>19946.002253100327</v>
      </c>
      <c r="N272" s="7">
        <v>22600</v>
      </c>
      <c r="O272" s="7">
        <v>13.9507033994037</v>
      </c>
      <c r="P272" s="3" t="s">
        <v>17</v>
      </c>
    </row>
    <row r="273" spans="1:16" ht="14.25" customHeight="1" thickBot="1" x14ac:dyDescent="0.4">
      <c r="A273" s="3" t="s">
        <v>461</v>
      </c>
      <c r="B273" s="3" t="s">
        <v>19</v>
      </c>
      <c r="C273" s="10" t="s">
        <v>462</v>
      </c>
      <c r="D273" s="3" t="s">
        <v>25</v>
      </c>
      <c r="E273" s="3" t="s">
        <v>70</v>
      </c>
      <c r="F273" t="s">
        <v>555</v>
      </c>
      <c r="G273" s="7">
        <v>14819</v>
      </c>
      <c r="H273" s="7">
        <v>1432</v>
      </c>
      <c r="I273" s="7">
        <v>152</v>
      </c>
      <c r="J273" s="7">
        <v>961</v>
      </c>
      <c r="K273" s="8">
        <v>39154</v>
      </c>
      <c r="L273" s="7">
        <v>154793</v>
      </c>
      <c r="M273" s="7">
        <v>16251.000981956548</v>
      </c>
      <c r="N273" s="7">
        <v>17364</v>
      </c>
      <c r="O273" s="7">
        <v>11.217561517639686</v>
      </c>
      <c r="P273" s="3" t="s">
        <v>32</v>
      </c>
    </row>
    <row r="274" spans="1:16" ht="14.25" customHeight="1" thickBot="1" x14ac:dyDescent="0.4">
      <c r="A274" s="3" t="s">
        <v>463</v>
      </c>
      <c r="B274" s="3" t="s">
        <v>19</v>
      </c>
      <c r="C274" s="10" t="s">
        <v>464</v>
      </c>
      <c r="D274" s="3" t="s">
        <v>15</v>
      </c>
      <c r="E274" s="3" t="s">
        <v>169</v>
      </c>
      <c r="F274" t="s">
        <v>556</v>
      </c>
      <c r="G274" s="7">
        <v>6208</v>
      </c>
      <c r="H274" s="7">
        <v>725</v>
      </c>
      <c r="I274" s="7">
        <v>309</v>
      </c>
      <c r="J274" s="7">
        <v>848</v>
      </c>
      <c r="K274" s="8">
        <v>39319</v>
      </c>
      <c r="L274" s="7">
        <v>225763</v>
      </c>
      <c r="M274" s="7">
        <v>6933.0013686919465</v>
      </c>
      <c r="N274" s="7">
        <v>8090</v>
      </c>
      <c r="O274" s="7">
        <v>3.5834038349951052</v>
      </c>
      <c r="P274" s="3" t="s">
        <v>17</v>
      </c>
    </row>
    <row r="275" spans="1:16" ht="14.25" customHeight="1" thickBot="1" x14ac:dyDescent="0.4">
      <c r="A275" s="3" t="s">
        <v>465</v>
      </c>
      <c r="B275" s="3" t="s">
        <v>19</v>
      </c>
      <c r="C275" s="10" t="s">
        <v>284</v>
      </c>
      <c r="D275" s="3" t="s">
        <v>30</v>
      </c>
      <c r="E275" s="3" t="s">
        <v>39</v>
      </c>
      <c r="F275" t="s">
        <v>551</v>
      </c>
      <c r="G275" s="7">
        <v>8283</v>
      </c>
      <c r="H275" s="7">
        <v>720</v>
      </c>
      <c r="I275" s="7">
        <v>888</v>
      </c>
      <c r="J275" s="7">
        <v>611</v>
      </c>
      <c r="K275" s="8">
        <v>52791</v>
      </c>
      <c r="L275" s="7">
        <v>235229</v>
      </c>
      <c r="M275" s="7">
        <v>9003.0037750447427</v>
      </c>
      <c r="N275" s="7">
        <v>10502</v>
      </c>
      <c r="O275" s="7">
        <v>4.4645855740576206</v>
      </c>
      <c r="P275" s="3" t="s">
        <v>17</v>
      </c>
    </row>
    <row r="276" spans="1:16" ht="14.25" customHeight="1" thickBot="1" x14ac:dyDescent="0.4">
      <c r="A276" s="3" t="s">
        <v>466</v>
      </c>
      <c r="B276" s="3" t="s">
        <v>23</v>
      </c>
      <c r="C276" s="10" t="s">
        <v>437</v>
      </c>
      <c r="D276" s="3" t="s">
        <v>25</v>
      </c>
      <c r="E276" s="3" t="s">
        <v>42</v>
      </c>
      <c r="F276" t="s">
        <v>552</v>
      </c>
      <c r="G276" s="7">
        <v>4048</v>
      </c>
      <c r="H276" s="7">
        <v>751</v>
      </c>
      <c r="I276" s="7">
        <v>930</v>
      </c>
      <c r="J276" s="7">
        <v>1382</v>
      </c>
      <c r="K276" s="8">
        <v>16844</v>
      </c>
      <c r="L276" s="7">
        <v>148177</v>
      </c>
      <c r="M276" s="7">
        <v>4799.0062762776952</v>
      </c>
      <c r="N276" s="7">
        <v>7111</v>
      </c>
      <c r="O276" s="7">
        <v>4.7989903966202583</v>
      </c>
      <c r="P276" s="3" t="s">
        <v>32</v>
      </c>
    </row>
    <row r="277" spans="1:16" ht="14.25" customHeight="1" thickBot="1" x14ac:dyDescent="0.4">
      <c r="A277" s="3" t="s">
        <v>467</v>
      </c>
      <c r="B277" s="3" t="s">
        <v>19</v>
      </c>
      <c r="C277" s="10" t="s">
        <v>468</v>
      </c>
      <c r="D277" s="3" t="s">
        <v>30</v>
      </c>
      <c r="E277" s="3" t="s">
        <v>31</v>
      </c>
      <c r="F277" t="s">
        <v>550</v>
      </c>
      <c r="G277" s="7">
        <v>8233</v>
      </c>
      <c r="H277" s="7">
        <v>436</v>
      </c>
      <c r="I277" s="7">
        <v>269</v>
      </c>
      <c r="J277" s="7">
        <v>2037</v>
      </c>
      <c r="K277" s="8">
        <v>8875</v>
      </c>
      <c r="L277" s="7">
        <v>52289</v>
      </c>
      <c r="M277" s="7">
        <v>8669.0051444854562</v>
      </c>
      <c r="N277" s="7">
        <v>10975</v>
      </c>
      <c r="O277" s="7">
        <v>20.989118170169636</v>
      </c>
      <c r="P277" s="3" t="s">
        <v>17</v>
      </c>
    </row>
    <row r="278" spans="1:16" ht="14.25" customHeight="1" thickBot="1" x14ac:dyDescent="0.4">
      <c r="A278" s="3" t="s">
        <v>469</v>
      </c>
      <c r="B278" s="3" t="s">
        <v>23</v>
      </c>
      <c r="C278" s="10" t="s">
        <v>243</v>
      </c>
      <c r="D278" s="3" t="s">
        <v>15</v>
      </c>
      <c r="E278" s="3" t="s">
        <v>85</v>
      </c>
      <c r="F278" t="s">
        <v>546</v>
      </c>
      <c r="G278" s="7">
        <v>14941</v>
      </c>
      <c r="H278" s="7">
        <v>1424</v>
      </c>
      <c r="I278" s="7">
        <v>238</v>
      </c>
      <c r="J278" s="7">
        <v>1054</v>
      </c>
      <c r="K278" s="8">
        <v>20516</v>
      </c>
      <c r="L278" s="7">
        <v>216048</v>
      </c>
      <c r="M278" s="7">
        <v>16365.001101607051</v>
      </c>
      <c r="N278" s="7">
        <v>17657</v>
      </c>
      <c r="O278" s="7">
        <v>8.1727208768421828</v>
      </c>
      <c r="P278" s="3" t="s">
        <v>55</v>
      </c>
    </row>
    <row r="279" spans="1:16" ht="14.25" customHeight="1" thickBot="1" x14ac:dyDescent="0.4">
      <c r="A279" s="3" t="s">
        <v>470</v>
      </c>
      <c r="B279" s="3" t="s">
        <v>46</v>
      </c>
      <c r="C279" s="10" t="s">
        <v>471</v>
      </c>
      <c r="D279" s="3" t="s">
        <v>30</v>
      </c>
      <c r="E279" s="3" t="s">
        <v>39</v>
      </c>
      <c r="F279" t="s">
        <v>551</v>
      </c>
      <c r="G279" s="7">
        <v>14607</v>
      </c>
      <c r="H279" s="7">
        <v>1458</v>
      </c>
      <c r="I279" s="7">
        <v>478</v>
      </c>
      <c r="J279" s="7">
        <v>334</v>
      </c>
      <c r="K279" s="8">
        <v>49257</v>
      </c>
      <c r="L279" s="7">
        <v>214668</v>
      </c>
      <c r="M279" s="7">
        <v>16065.002226694243</v>
      </c>
      <c r="N279" s="7">
        <v>16877</v>
      </c>
      <c r="O279" s="7">
        <v>7.8619076900143483</v>
      </c>
      <c r="P279" s="3" t="s">
        <v>32</v>
      </c>
    </row>
    <row r="280" spans="1:16" ht="14.25" customHeight="1" thickBot="1" x14ac:dyDescent="0.4">
      <c r="A280" s="3" t="s">
        <v>472</v>
      </c>
      <c r="B280" s="3" t="s">
        <v>23</v>
      </c>
      <c r="C280" s="10" t="s">
        <v>156</v>
      </c>
      <c r="D280" s="3" t="s">
        <v>30</v>
      </c>
      <c r="E280" s="3" t="s">
        <v>31</v>
      </c>
      <c r="F280" t="s">
        <v>550</v>
      </c>
      <c r="G280" s="7">
        <v>11765</v>
      </c>
      <c r="H280" s="7">
        <v>693</v>
      </c>
      <c r="I280" s="7">
        <v>729</v>
      </c>
      <c r="J280" s="7">
        <v>744</v>
      </c>
      <c r="K280" s="8">
        <v>97772</v>
      </c>
      <c r="L280" s="7">
        <v>194243</v>
      </c>
      <c r="M280" s="7">
        <v>12458.003753030996</v>
      </c>
      <c r="N280" s="7">
        <v>13931</v>
      </c>
      <c r="O280" s="7">
        <v>7.1719444201335438</v>
      </c>
      <c r="P280" s="3" t="s">
        <v>17</v>
      </c>
    </row>
    <row r="281" spans="1:16" ht="14.25" customHeight="1" thickBot="1" x14ac:dyDescent="0.4">
      <c r="A281" s="3" t="s">
        <v>473</v>
      </c>
      <c r="B281" s="3" t="s">
        <v>46</v>
      </c>
      <c r="C281" s="10">
        <v>45918</v>
      </c>
      <c r="D281" s="3" t="s">
        <v>30</v>
      </c>
      <c r="E281" s="3" t="s">
        <v>39</v>
      </c>
      <c r="F281" t="s">
        <v>551</v>
      </c>
      <c r="G281" s="7">
        <v>3828</v>
      </c>
      <c r="H281" s="7">
        <v>203</v>
      </c>
      <c r="I281" s="7">
        <v>506</v>
      </c>
      <c r="J281" s="7">
        <v>2440</v>
      </c>
      <c r="K281" s="8">
        <v>63650</v>
      </c>
      <c r="L281" s="7">
        <v>126365</v>
      </c>
      <c r="M281" s="7">
        <v>4031.0040042733353</v>
      </c>
      <c r="N281" s="7">
        <v>6977</v>
      </c>
      <c r="O281" s="7">
        <v>5.5213073240216834</v>
      </c>
      <c r="P281" s="3" t="s">
        <v>21</v>
      </c>
    </row>
    <row r="282" spans="1:16" ht="14.25" customHeight="1" thickBot="1" x14ac:dyDescent="0.4">
      <c r="A282" s="3" t="s">
        <v>474</v>
      </c>
      <c r="B282" s="3" t="s">
        <v>19</v>
      </c>
      <c r="C282" s="10" t="s">
        <v>475</v>
      </c>
      <c r="D282" s="3" t="s">
        <v>30</v>
      </c>
      <c r="E282" s="3" t="s">
        <v>62</v>
      </c>
      <c r="F282" t="s">
        <v>554</v>
      </c>
      <c r="G282" s="7">
        <v>3917</v>
      </c>
      <c r="H282" s="7">
        <v>865</v>
      </c>
      <c r="I282" s="7">
        <v>759</v>
      </c>
      <c r="J282" s="7">
        <v>2282</v>
      </c>
      <c r="K282" s="8">
        <v>56125</v>
      </c>
      <c r="L282" s="7">
        <v>154014</v>
      </c>
      <c r="M282" s="7">
        <v>4782.0049281234169</v>
      </c>
      <c r="N282" s="7">
        <v>7823</v>
      </c>
      <c r="O282" s="7">
        <v>5.0794083654732685</v>
      </c>
      <c r="P282" s="3" t="s">
        <v>17</v>
      </c>
    </row>
    <row r="283" spans="1:16" ht="14.25" customHeight="1" thickBot="1" x14ac:dyDescent="0.4">
      <c r="A283" s="3" t="s">
        <v>476</v>
      </c>
      <c r="B283" s="3" t="s">
        <v>19</v>
      </c>
      <c r="C283" s="10" t="s">
        <v>477</v>
      </c>
      <c r="D283" s="3" t="s">
        <v>15</v>
      </c>
      <c r="E283" s="3" t="s">
        <v>31</v>
      </c>
      <c r="F283" t="s">
        <v>550</v>
      </c>
      <c r="G283" s="7">
        <v>22618</v>
      </c>
      <c r="H283" s="7">
        <v>641</v>
      </c>
      <c r="I283" s="7">
        <v>416</v>
      </c>
      <c r="J283" s="7">
        <v>1530</v>
      </c>
      <c r="K283" s="8">
        <v>18395</v>
      </c>
      <c r="L283" s="7">
        <v>215211</v>
      </c>
      <c r="M283" s="7">
        <v>23259.001932986695</v>
      </c>
      <c r="N283" s="7">
        <v>25205</v>
      </c>
      <c r="O283" s="7">
        <v>11.711761945253727</v>
      </c>
      <c r="P283" s="3" t="s">
        <v>55</v>
      </c>
    </row>
    <row r="284" spans="1:16" ht="14.25" customHeight="1" thickBot="1" x14ac:dyDescent="0.4">
      <c r="A284" s="3" t="s">
        <v>478</v>
      </c>
      <c r="B284" s="3" t="s">
        <v>46</v>
      </c>
      <c r="C284" s="10" t="s">
        <v>479</v>
      </c>
      <c r="D284" s="3" t="s">
        <v>38</v>
      </c>
      <c r="E284" s="3" t="s">
        <v>42</v>
      </c>
      <c r="F284" t="s">
        <v>552</v>
      </c>
      <c r="G284" s="7">
        <v>8988</v>
      </c>
      <c r="H284" s="7">
        <v>228</v>
      </c>
      <c r="I284" s="7">
        <v>766</v>
      </c>
      <c r="J284" s="7">
        <v>652</v>
      </c>
      <c r="K284" s="8">
        <v>63789</v>
      </c>
      <c r="L284" s="7">
        <v>219785</v>
      </c>
      <c r="M284" s="7">
        <v>9216.003485224197</v>
      </c>
      <c r="N284" s="7">
        <v>10634</v>
      </c>
      <c r="O284" s="7">
        <v>4.8383647655663493</v>
      </c>
      <c r="P284" s="3" t="s">
        <v>27</v>
      </c>
    </row>
    <row r="285" spans="1:16" ht="14.25" customHeight="1" thickBot="1" x14ac:dyDescent="0.4">
      <c r="A285" s="3" t="s">
        <v>480</v>
      </c>
      <c r="B285" s="3" t="s">
        <v>13</v>
      </c>
      <c r="C285" s="10" t="s">
        <v>81</v>
      </c>
      <c r="D285" s="3" t="s">
        <v>30</v>
      </c>
      <c r="E285" s="3" t="s">
        <v>39</v>
      </c>
      <c r="F285" t="s">
        <v>551</v>
      </c>
      <c r="G285" s="7">
        <v>20410</v>
      </c>
      <c r="H285" s="7">
        <v>1332</v>
      </c>
      <c r="I285" s="7">
        <v>472</v>
      </c>
      <c r="J285" s="7">
        <v>1202</v>
      </c>
      <c r="K285" s="8">
        <v>9418</v>
      </c>
      <c r="L285" s="7">
        <v>200806</v>
      </c>
      <c r="M285" s="7">
        <v>21742.002350527375</v>
      </c>
      <c r="N285" s="7">
        <v>23416</v>
      </c>
      <c r="O285" s="7">
        <v>11.661006145234703</v>
      </c>
      <c r="P285" s="3" t="s">
        <v>17</v>
      </c>
    </row>
    <row r="286" spans="1:16" ht="14.25" customHeight="1" thickBot="1" x14ac:dyDescent="0.4">
      <c r="A286" s="3" t="s">
        <v>481</v>
      </c>
      <c r="B286" s="3" t="s">
        <v>46</v>
      </c>
      <c r="C286" s="10" t="s">
        <v>425</v>
      </c>
      <c r="D286" s="3" t="s">
        <v>30</v>
      </c>
      <c r="E286" s="3" t="s">
        <v>16</v>
      </c>
      <c r="F286" t="s">
        <v>547</v>
      </c>
      <c r="G286" s="7">
        <v>16594</v>
      </c>
      <c r="H286" s="7">
        <v>809</v>
      </c>
      <c r="I286" s="7">
        <v>784</v>
      </c>
      <c r="J286" s="7">
        <v>1655</v>
      </c>
      <c r="K286" s="8">
        <v>35505</v>
      </c>
      <c r="L286" s="7">
        <v>112588</v>
      </c>
      <c r="M286" s="7">
        <v>17403.006963441931</v>
      </c>
      <c r="N286" s="7">
        <v>19842</v>
      </c>
      <c r="O286" s="7">
        <v>17.623547802607739</v>
      </c>
      <c r="P286" s="3" t="s">
        <v>27</v>
      </c>
    </row>
    <row r="287" spans="1:16" ht="14.25" customHeight="1" thickBot="1" x14ac:dyDescent="0.4">
      <c r="A287" s="3" t="s">
        <v>482</v>
      </c>
      <c r="B287" s="3" t="s">
        <v>13</v>
      </c>
      <c r="C287" s="10">
        <v>45919</v>
      </c>
      <c r="D287" s="3" t="s">
        <v>25</v>
      </c>
      <c r="E287" s="3" t="s">
        <v>42</v>
      </c>
      <c r="F287" t="s">
        <v>552</v>
      </c>
      <c r="G287" s="7">
        <v>22128</v>
      </c>
      <c r="H287" s="7">
        <v>1004</v>
      </c>
      <c r="I287" s="7">
        <v>690</v>
      </c>
      <c r="J287" s="7">
        <v>2048</v>
      </c>
      <c r="K287" s="8">
        <v>19443</v>
      </c>
      <c r="L287" s="7">
        <v>103646</v>
      </c>
      <c r="M287" s="7">
        <v>23132.006657275728</v>
      </c>
      <c r="N287" s="7">
        <v>25870</v>
      </c>
      <c r="O287" s="7">
        <v>24.959959863381123</v>
      </c>
      <c r="P287" s="3" t="s">
        <v>21</v>
      </c>
    </row>
    <row r="288" spans="1:16" ht="14.25" customHeight="1" thickBot="1" x14ac:dyDescent="0.4">
      <c r="A288" s="3" t="s">
        <v>483</v>
      </c>
      <c r="B288" s="3" t="s">
        <v>23</v>
      </c>
      <c r="C288" s="10" t="s">
        <v>349</v>
      </c>
      <c r="D288" s="3" t="s">
        <v>30</v>
      </c>
      <c r="E288" s="3" t="s">
        <v>31</v>
      </c>
      <c r="F288" t="s">
        <v>550</v>
      </c>
      <c r="G288" s="7">
        <v>14977</v>
      </c>
      <c r="H288" s="7">
        <v>274</v>
      </c>
      <c r="I288" s="7">
        <v>798</v>
      </c>
      <c r="J288" s="7">
        <v>458</v>
      </c>
      <c r="K288" s="8">
        <v>6636</v>
      </c>
      <c r="L288" s="7">
        <v>43654</v>
      </c>
      <c r="M288" s="7">
        <v>15251.018280111788</v>
      </c>
      <c r="N288" s="7">
        <v>16507</v>
      </c>
      <c r="O288" s="7">
        <v>37.813258807898478</v>
      </c>
      <c r="P288" s="3" t="s">
        <v>17</v>
      </c>
    </row>
    <row r="289" spans="1:16" ht="14.25" customHeight="1" thickBot="1" x14ac:dyDescent="0.4">
      <c r="A289" s="3" t="s">
        <v>484</v>
      </c>
      <c r="B289" s="3" t="s">
        <v>23</v>
      </c>
      <c r="C289" s="10" t="s">
        <v>485</v>
      </c>
      <c r="D289" s="3" t="s">
        <v>25</v>
      </c>
      <c r="E289" s="3" t="s">
        <v>42</v>
      </c>
      <c r="F289" t="s">
        <v>552</v>
      </c>
      <c r="G289" s="7">
        <v>2009</v>
      </c>
      <c r="H289" s="7">
        <v>1037</v>
      </c>
      <c r="I289" s="7">
        <v>344</v>
      </c>
      <c r="J289" s="7">
        <v>2277</v>
      </c>
      <c r="K289" s="8">
        <v>85743</v>
      </c>
      <c r="L289" s="7">
        <v>58743</v>
      </c>
      <c r="M289" s="7">
        <v>3046.0058560168873</v>
      </c>
      <c r="N289" s="7">
        <v>5667</v>
      </c>
      <c r="O289" s="7">
        <v>9.6471068893314946</v>
      </c>
      <c r="P289" s="3" t="s">
        <v>32</v>
      </c>
    </row>
    <row r="290" spans="1:16" ht="14.25" customHeight="1" thickBot="1" x14ac:dyDescent="0.4">
      <c r="A290" s="3" t="s">
        <v>486</v>
      </c>
      <c r="B290" s="3" t="s">
        <v>23</v>
      </c>
      <c r="C290" s="10" t="s">
        <v>259</v>
      </c>
      <c r="D290" s="3" t="s">
        <v>38</v>
      </c>
      <c r="E290" s="3" t="s">
        <v>39</v>
      </c>
      <c r="F290" t="s">
        <v>551</v>
      </c>
      <c r="G290" s="7">
        <v>18644</v>
      </c>
      <c r="H290" s="7">
        <v>1369</v>
      </c>
      <c r="I290" s="7">
        <v>887</v>
      </c>
      <c r="J290" s="7">
        <v>1256</v>
      </c>
      <c r="K290" s="8">
        <v>43415</v>
      </c>
      <c r="L290" s="7">
        <v>88368</v>
      </c>
      <c r="M290" s="7">
        <v>20013.010037570162</v>
      </c>
      <c r="N290" s="7">
        <v>22156</v>
      </c>
      <c r="O290" s="7">
        <v>25.072424407025167</v>
      </c>
      <c r="P290" s="3" t="s">
        <v>27</v>
      </c>
    </row>
    <row r="291" spans="1:16" ht="14.25" customHeight="1" thickBot="1" x14ac:dyDescent="0.4">
      <c r="A291" s="3" t="s">
        <v>487</v>
      </c>
      <c r="B291" s="3" t="s">
        <v>19</v>
      </c>
      <c r="C291" s="10">
        <v>45920</v>
      </c>
      <c r="D291" s="3" t="s">
        <v>15</v>
      </c>
      <c r="E291" s="3" t="s">
        <v>35</v>
      </c>
      <c r="F291" t="s">
        <v>545</v>
      </c>
      <c r="G291" s="7">
        <v>24422</v>
      </c>
      <c r="H291" s="7">
        <v>327</v>
      </c>
      <c r="I291" s="7">
        <v>481</v>
      </c>
      <c r="J291" s="7">
        <v>2371</v>
      </c>
      <c r="K291" s="8">
        <v>35340</v>
      </c>
      <c r="L291" s="7">
        <v>245244</v>
      </c>
      <c r="M291" s="7">
        <v>24749.001961311998</v>
      </c>
      <c r="N291" s="7">
        <v>27601</v>
      </c>
      <c r="O291" s="7">
        <v>11.254505716755556</v>
      </c>
      <c r="P291" s="3" t="s">
        <v>21</v>
      </c>
    </row>
    <row r="292" spans="1:16" ht="14.25" customHeight="1" thickBot="1" x14ac:dyDescent="0.4">
      <c r="A292" s="3" t="s">
        <v>488</v>
      </c>
      <c r="B292" s="3" t="s">
        <v>23</v>
      </c>
      <c r="C292" s="10" t="s">
        <v>74</v>
      </c>
      <c r="D292" s="3" t="s">
        <v>15</v>
      </c>
      <c r="E292" s="3" t="s">
        <v>39</v>
      </c>
      <c r="F292" t="s">
        <v>551</v>
      </c>
      <c r="G292" s="7">
        <v>11865</v>
      </c>
      <c r="H292" s="7">
        <v>241</v>
      </c>
      <c r="I292" s="7">
        <v>319</v>
      </c>
      <c r="J292" s="7">
        <v>703</v>
      </c>
      <c r="K292" s="8">
        <v>69596</v>
      </c>
      <c r="L292" s="7">
        <v>177513</v>
      </c>
      <c r="M292" s="7">
        <v>12106.001797051484</v>
      </c>
      <c r="N292" s="7">
        <v>13128</v>
      </c>
      <c r="O292" s="7">
        <v>7.3955146946984174</v>
      </c>
      <c r="P292" s="3" t="s">
        <v>32</v>
      </c>
    </row>
    <row r="293" spans="1:16" ht="14.25" customHeight="1" thickBot="1" x14ac:dyDescent="0.4">
      <c r="A293" s="3" t="s">
        <v>489</v>
      </c>
      <c r="B293" s="3" t="s">
        <v>13</v>
      </c>
      <c r="C293" s="10" t="s">
        <v>490</v>
      </c>
      <c r="D293" s="3" t="s">
        <v>38</v>
      </c>
      <c r="E293" s="3" t="s">
        <v>39</v>
      </c>
      <c r="F293" t="s">
        <v>551</v>
      </c>
      <c r="G293" s="7">
        <v>4219</v>
      </c>
      <c r="H293" s="7">
        <v>240</v>
      </c>
      <c r="I293" s="7">
        <v>670</v>
      </c>
      <c r="J293" s="7">
        <v>815</v>
      </c>
      <c r="K293" s="8">
        <v>11978</v>
      </c>
      <c r="L293" s="7">
        <v>159735</v>
      </c>
      <c r="M293" s="7">
        <v>4459.0041944470531</v>
      </c>
      <c r="N293" s="7">
        <v>5944</v>
      </c>
      <c r="O293" s="7">
        <v>3.7211631765110962</v>
      </c>
      <c r="P293" s="3" t="s">
        <v>32</v>
      </c>
    </row>
    <row r="294" spans="1:16" ht="14.25" customHeight="1" thickBot="1" x14ac:dyDescent="0.4">
      <c r="A294" s="3" t="s">
        <v>491</v>
      </c>
      <c r="B294" s="3" t="s">
        <v>23</v>
      </c>
      <c r="C294" s="10" t="s">
        <v>492</v>
      </c>
      <c r="D294" s="3" t="s">
        <v>15</v>
      </c>
      <c r="E294" s="3" t="s">
        <v>62</v>
      </c>
      <c r="F294" t="s">
        <v>554</v>
      </c>
      <c r="G294" s="7">
        <v>9041</v>
      </c>
      <c r="H294" s="7">
        <v>1133</v>
      </c>
      <c r="I294" s="7">
        <v>612</v>
      </c>
      <c r="J294" s="7">
        <v>1687</v>
      </c>
      <c r="K294" s="8">
        <v>28102</v>
      </c>
      <c r="L294" s="7">
        <v>195683</v>
      </c>
      <c r="M294" s="7">
        <v>10174.003127507243</v>
      </c>
      <c r="N294" s="7">
        <v>12473</v>
      </c>
      <c r="O294" s="7">
        <v>6.3740846164459866</v>
      </c>
      <c r="P294" s="3" t="s">
        <v>32</v>
      </c>
    </row>
    <row r="295" spans="1:16" ht="14.25" customHeight="1" thickBot="1" x14ac:dyDescent="0.4">
      <c r="A295" s="3" t="s">
        <v>493</v>
      </c>
      <c r="B295" s="3" t="s">
        <v>46</v>
      </c>
      <c r="C295" s="10" t="s">
        <v>494</v>
      </c>
      <c r="D295" s="3" t="s">
        <v>38</v>
      </c>
      <c r="E295" s="3" t="s">
        <v>70</v>
      </c>
      <c r="F295" t="s">
        <v>555</v>
      </c>
      <c r="G295" s="7">
        <v>20444</v>
      </c>
      <c r="H295" s="7">
        <v>233</v>
      </c>
      <c r="I295" s="7">
        <v>189</v>
      </c>
      <c r="J295" s="7">
        <v>2879</v>
      </c>
      <c r="K295" s="8">
        <v>28185</v>
      </c>
      <c r="L295" s="7">
        <v>159891</v>
      </c>
      <c r="M295" s="7">
        <v>20677.001182055275</v>
      </c>
      <c r="N295" s="7">
        <v>23745</v>
      </c>
      <c r="O295" s="7">
        <v>14.850742068033847</v>
      </c>
      <c r="P295" s="3" t="s">
        <v>32</v>
      </c>
    </row>
    <row r="296" spans="1:16" ht="14.25" customHeight="1" thickBot="1" x14ac:dyDescent="0.4">
      <c r="A296" s="3" t="s">
        <v>495</v>
      </c>
      <c r="B296" s="3" t="s">
        <v>46</v>
      </c>
      <c r="C296" s="10" t="s">
        <v>496</v>
      </c>
      <c r="D296" s="3" t="s">
        <v>38</v>
      </c>
      <c r="E296" s="3" t="s">
        <v>16</v>
      </c>
      <c r="F296" t="s">
        <v>547</v>
      </c>
      <c r="G296" s="7">
        <v>7287</v>
      </c>
      <c r="H296" s="7">
        <v>1240</v>
      </c>
      <c r="I296" s="7">
        <v>686</v>
      </c>
      <c r="J296" s="7">
        <v>1255</v>
      </c>
      <c r="K296" s="8">
        <v>15403</v>
      </c>
      <c r="L296" s="7">
        <v>147971</v>
      </c>
      <c r="M296" s="7">
        <v>8527.0046360435499</v>
      </c>
      <c r="N296" s="7">
        <v>10468</v>
      </c>
      <c r="O296" s="7">
        <v>7.074359164971515</v>
      </c>
      <c r="P296" s="3" t="s">
        <v>17</v>
      </c>
    </row>
    <row r="297" spans="1:16" ht="14.25" customHeight="1" thickBot="1" x14ac:dyDescent="0.4">
      <c r="A297" s="3" t="s">
        <v>497</v>
      </c>
      <c r="B297" s="3" t="s">
        <v>19</v>
      </c>
      <c r="C297" s="10" t="s">
        <v>498</v>
      </c>
      <c r="D297" s="3" t="s">
        <v>38</v>
      </c>
      <c r="E297" s="3" t="s">
        <v>169</v>
      </c>
      <c r="F297" t="s">
        <v>556</v>
      </c>
      <c r="G297" s="7">
        <v>3619</v>
      </c>
      <c r="H297" s="7">
        <v>1376</v>
      </c>
      <c r="I297" s="7">
        <v>410</v>
      </c>
      <c r="J297" s="7">
        <v>2499</v>
      </c>
      <c r="K297" s="8">
        <v>58146</v>
      </c>
      <c r="L297" s="7">
        <v>52149</v>
      </c>
      <c r="M297" s="7">
        <v>4995.0078620874801</v>
      </c>
      <c r="N297" s="7">
        <v>7904</v>
      </c>
      <c r="O297" s="7">
        <v>15.156570595792823</v>
      </c>
      <c r="P297" s="3" t="s">
        <v>17</v>
      </c>
    </row>
    <row r="298" spans="1:16" ht="14.25" customHeight="1" thickBot="1" x14ac:dyDescent="0.4">
      <c r="A298" s="3" t="s">
        <v>499</v>
      </c>
      <c r="B298" s="3" t="s">
        <v>46</v>
      </c>
      <c r="C298" s="10" t="s">
        <v>500</v>
      </c>
      <c r="D298" s="3" t="s">
        <v>15</v>
      </c>
      <c r="E298" s="3" t="s">
        <v>85</v>
      </c>
      <c r="F298" t="s">
        <v>546</v>
      </c>
      <c r="G298" s="7">
        <v>10512</v>
      </c>
      <c r="H298" s="7">
        <v>1197</v>
      </c>
      <c r="I298" s="7">
        <v>544</v>
      </c>
      <c r="J298" s="7">
        <v>2012</v>
      </c>
      <c r="K298" s="8">
        <v>10245</v>
      </c>
      <c r="L298" s="7">
        <v>140102</v>
      </c>
      <c r="M298" s="7">
        <v>11709.003882885327</v>
      </c>
      <c r="N298" s="7">
        <v>14265</v>
      </c>
      <c r="O298" s="7">
        <v>10.181867496538237</v>
      </c>
      <c r="P298" s="3" t="s">
        <v>17</v>
      </c>
    </row>
    <row r="299" spans="1:16" ht="14.25" customHeight="1" thickBot="1" x14ac:dyDescent="0.4">
      <c r="A299" s="3" t="s">
        <v>501</v>
      </c>
      <c r="B299" s="3" t="s">
        <v>13</v>
      </c>
      <c r="C299" s="10">
        <v>45924</v>
      </c>
      <c r="D299" s="3" t="s">
        <v>25</v>
      </c>
      <c r="E299" s="3" t="s">
        <v>48</v>
      </c>
      <c r="F299" t="s">
        <v>553</v>
      </c>
      <c r="G299" s="7">
        <v>3342</v>
      </c>
      <c r="H299" s="7">
        <v>787</v>
      </c>
      <c r="I299" s="7">
        <v>375</v>
      </c>
      <c r="J299" s="7">
        <v>907</v>
      </c>
      <c r="K299" s="8">
        <v>85823</v>
      </c>
      <c r="L299" s="7">
        <v>99189</v>
      </c>
      <c r="M299" s="7">
        <v>4129.0037806611617</v>
      </c>
      <c r="N299" s="7">
        <v>5411</v>
      </c>
      <c r="O299" s="7">
        <v>5.4552420127231844</v>
      </c>
      <c r="P299" s="3" t="s">
        <v>21</v>
      </c>
    </row>
    <row r="300" spans="1:16" ht="14.25" customHeight="1" thickBot="1" x14ac:dyDescent="0.4">
      <c r="A300" s="3" t="s">
        <v>502</v>
      </c>
      <c r="B300" s="3" t="s">
        <v>23</v>
      </c>
      <c r="C300" s="10">
        <v>45925</v>
      </c>
      <c r="D300" s="3" t="s">
        <v>38</v>
      </c>
      <c r="E300" s="3" t="s">
        <v>70</v>
      </c>
      <c r="F300" t="s">
        <v>555</v>
      </c>
      <c r="G300" s="7">
        <v>12568</v>
      </c>
      <c r="H300" s="7">
        <v>541</v>
      </c>
      <c r="I300" s="7">
        <v>273</v>
      </c>
      <c r="J300" s="7">
        <v>2767</v>
      </c>
      <c r="K300" s="8">
        <v>22331</v>
      </c>
      <c r="L300" s="7">
        <v>192747</v>
      </c>
      <c r="M300" s="7">
        <v>13109.001416364457</v>
      </c>
      <c r="N300" s="7">
        <v>16149</v>
      </c>
      <c r="O300" s="7">
        <v>8.3783405189185824</v>
      </c>
      <c r="P300" s="3" t="s">
        <v>21</v>
      </c>
    </row>
    <row r="301" spans="1:16" ht="14.25" customHeight="1" thickBot="1" x14ac:dyDescent="0.4">
      <c r="A301" s="3" t="s">
        <v>503</v>
      </c>
      <c r="B301" s="3" t="s">
        <v>19</v>
      </c>
      <c r="C301" s="10">
        <v>45926</v>
      </c>
      <c r="D301" s="3" t="s">
        <v>30</v>
      </c>
      <c r="E301" s="3" t="s">
        <v>48</v>
      </c>
      <c r="F301" t="s">
        <v>553</v>
      </c>
      <c r="G301" s="7">
        <v>21216</v>
      </c>
      <c r="H301" s="7">
        <v>226</v>
      </c>
      <c r="I301" s="7">
        <v>187</v>
      </c>
      <c r="J301" s="7">
        <v>1573</v>
      </c>
      <c r="K301" s="8">
        <v>62688</v>
      </c>
      <c r="L301" s="7">
        <v>111031</v>
      </c>
      <c r="M301" s="7">
        <v>21442.00168421432</v>
      </c>
      <c r="N301" s="7">
        <v>23202</v>
      </c>
      <c r="O301" s="7">
        <v>20.896866640848053</v>
      </c>
      <c r="P301" s="3" t="s">
        <v>21</v>
      </c>
    </row>
    <row r="302" spans="1:16" ht="14.25" customHeight="1" thickBot="1" x14ac:dyDescent="0.4">
      <c r="K302" s="6"/>
    </row>
    <row r="303" spans="1:16" ht="14.25" customHeight="1" thickBot="1" x14ac:dyDescent="0.4">
      <c r="K303" s="6"/>
    </row>
    <row r="304" spans="1:16" ht="14.25" customHeight="1" thickBot="1" x14ac:dyDescent="0.4">
      <c r="K304" s="6"/>
    </row>
    <row r="305" spans="11:11" ht="14.25" customHeight="1" thickBot="1" x14ac:dyDescent="0.4">
      <c r="K305" s="6"/>
    </row>
    <row r="306" spans="11:11" ht="14.25" customHeight="1" thickBot="1" x14ac:dyDescent="0.4">
      <c r="K306" s="6"/>
    </row>
    <row r="307" spans="11:11" ht="14.25" customHeight="1" thickBot="1" x14ac:dyDescent="0.4">
      <c r="K307" s="6"/>
    </row>
    <row r="308" spans="11:11" ht="14.25" customHeight="1" thickBot="1" x14ac:dyDescent="0.4">
      <c r="K308" s="6"/>
    </row>
    <row r="309" spans="11:11" ht="14.25" customHeight="1" thickBot="1" x14ac:dyDescent="0.4">
      <c r="K309" s="6"/>
    </row>
    <row r="310" spans="11:11" ht="14.25" customHeight="1" thickBot="1" x14ac:dyDescent="0.4">
      <c r="K310" s="6"/>
    </row>
    <row r="311" spans="11:11" ht="14.25" customHeight="1" thickBot="1" x14ac:dyDescent="0.4">
      <c r="K311" s="6"/>
    </row>
    <row r="312" spans="11:11" ht="14.25" customHeight="1" thickBot="1" x14ac:dyDescent="0.4">
      <c r="K312" s="6"/>
    </row>
    <row r="313" spans="11:11" ht="14.25" customHeight="1" thickBot="1" x14ac:dyDescent="0.4">
      <c r="K313" s="6"/>
    </row>
    <row r="314" spans="11:11" ht="14.25" customHeight="1" thickBot="1" x14ac:dyDescent="0.4">
      <c r="K314" s="6"/>
    </row>
    <row r="315" spans="11:11" ht="14.25" customHeight="1" thickBot="1" x14ac:dyDescent="0.4">
      <c r="K315" s="6"/>
    </row>
    <row r="316" spans="11:11" ht="14.25" customHeight="1" thickBot="1" x14ac:dyDescent="0.4">
      <c r="K316" s="6"/>
    </row>
    <row r="317" spans="11:11" ht="14.25" customHeight="1" thickBot="1" x14ac:dyDescent="0.4">
      <c r="K317" s="6"/>
    </row>
    <row r="318" spans="11:11" ht="14.25" customHeight="1" thickBot="1" x14ac:dyDescent="0.4">
      <c r="K318" s="6"/>
    </row>
    <row r="319" spans="11:11" ht="14.25" customHeight="1" thickBot="1" x14ac:dyDescent="0.4">
      <c r="K319" s="6"/>
    </row>
    <row r="320" spans="11:11" ht="14.25" customHeight="1" thickBot="1" x14ac:dyDescent="0.4">
      <c r="K320" s="6"/>
    </row>
    <row r="321" spans="11:11" ht="14.25" customHeight="1" thickBot="1" x14ac:dyDescent="0.4">
      <c r="K321" s="6"/>
    </row>
    <row r="322" spans="11:11" ht="14.25" customHeight="1" thickBot="1" x14ac:dyDescent="0.4">
      <c r="K322" s="6"/>
    </row>
    <row r="323" spans="11:11" ht="14.25" customHeight="1" thickBot="1" x14ac:dyDescent="0.4">
      <c r="K323" s="6"/>
    </row>
    <row r="324" spans="11:11" ht="14.25" customHeight="1" thickBot="1" x14ac:dyDescent="0.4">
      <c r="K324" s="6"/>
    </row>
    <row r="325" spans="11:11" ht="14.25" customHeight="1" thickBot="1" x14ac:dyDescent="0.4">
      <c r="K325" s="6"/>
    </row>
    <row r="326" spans="11:11" ht="14.25" customHeight="1" thickBot="1" x14ac:dyDescent="0.4">
      <c r="K326" s="6"/>
    </row>
    <row r="327" spans="11:11" ht="14.25" customHeight="1" thickBot="1" x14ac:dyDescent="0.4">
      <c r="K327" s="6"/>
    </row>
    <row r="328" spans="11:11" ht="14.25" customHeight="1" thickBot="1" x14ac:dyDescent="0.4">
      <c r="K328" s="6"/>
    </row>
    <row r="329" spans="11:11" ht="14.25" customHeight="1" thickBot="1" x14ac:dyDescent="0.4">
      <c r="K329" s="6"/>
    </row>
    <row r="330" spans="11:11" ht="14.25" customHeight="1" thickBot="1" x14ac:dyDescent="0.4">
      <c r="K330" s="6"/>
    </row>
    <row r="331" spans="11:11" ht="14.25" customHeight="1" thickBot="1" x14ac:dyDescent="0.4">
      <c r="K331" s="6"/>
    </row>
    <row r="332" spans="11:11" ht="14.25" customHeight="1" thickBot="1" x14ac:dyDescent="0.4">
      <c r="K332" s="6"/>
    </row>
    <row r="333" spans="11:11" ht="14.25" customHeight="1" thickBot="1" x14ac:dyDescent="0.4">
      <c r="K333" s="6"/>
    </row>
    <row r="334" spans="11:11" ht="14.25" customHeight="1" thickBot="1" x14ac:dyDescent="0.4">
      <c r="K334" s="6"/>
    </row>
    <row r="335" spans="11:11" ht="14.25" customHeight="1" thickBot="1" x14ac:dyDescent="0.4">
      <c r="K335" s="6"/>
    </row>
    <row r="336" spans="11:11" ht="14.25" customHeight="1" thickBot="1" x14ac:dyDescent="0.4">
      <c r="K336" s="6"/>
    </row>
    <row r="337" spans="11:11" ht="14.25" customHeight="1" thickBot="1" x14ac:dyDescent="0.4">
      <c r="K337" s="6"/>
    </row>
    <row r="338" spans="11:11" ht="14.25" customHeight="1" thickBot="1" x14ac:dyDescent="0.4">
      <c r="K338" s="6"/>
    </row>
    <row r="339" spans="11:11" ht="14.25" customHeight="1" thickBot="1" x14ac:dyDescent="0.4">
      <c r="K339" s="6"/>
    </row>
    <row r="340" spans="11:11" ht="14.25" customHeight="1" thickBot="1" x14ac:dyDescent="0.4">
      <c r="K340" s="6"/>
    </row>
    <row r="341" spans="11:11" ht="14.25" customHeight="1" thickBot="1" x14ac:dyDescent="0.4">
      <c r="K341" s="6"/>
    </row>
    <row r="342" spans="11:11" ht="14.25" customHeight="1" thickBot="1" x14ac:dyDescent="0.4">
      <c r="K342" s="6"/>
    </row>
    <row r="343" spans="11:11" ht="14.25" customHeight="1" thickBot="1" x14ac:dyDescent="0.4">
      <c r="K343" s="6"/>
    </row>
    <row r="344" spans="11:11" ht="14.25" customHeight="1" thickBot="1" x14ac:dyDescent="0.4">
      <c r="K344" s="6"/>
    </row>
    <row r="345" spans="11:11" ht="14.25" customHeight="1" thickBot="1" x14ac:dyDescent="0.4">
      <c r="K345" s="6"/>
    </row>
    <row r="346" spans="11:11" ht="14.25" customHeight="1" thickBot="1" x14ac:dyDescent="0.4">
      <c r="K346" s="6"/>
    </row>
    <row r="347" spans="11:11" ht="14.25" customHeight="1" thickBot="1" x14ac:dyDescent="0.4">
      <c r="K347" s="6"/>
    </row>
    <row r="348" spans="11:11" ht="14.25" customHeight="1" thickBot="1" x14ac:dyDescent="0.4">
      <c r="K348" s="6"/>
    </row>
    <row r="349" spans="11:11" ht="14.25" customHeight="1" thickBot="1" x14ac:dyDescent="0.4">
      <c r="K349" s="6"/>
    </row>
    <row r="350" spans="11:11" ht="14.25" customHeight="1" thickBot="1" x14ac:dyDescent="0.4">
      <c r="K350" s="6"/>
    </row>
    <row r="351" spans="11:11" ht="14.25" customHeight="1" thickBot="1" x14ac:dyDescent="0.4">
      <c r="K351" s="6"/>
    </row>
    <row r="352" spans="11:11" ht="14.25" customHeight="1" thickBot="1" x14ac:dyDescent="0.4">
      <c r="K352" s="6"/>
    </row>
    <row r="353" spans="11:11" ht="14.25" customHeight="1" thickBot="1" x14ac:dyDescent="0.4">
      <c r="K353" s="6"/>
    </row>
    <row r="354" spans="11:11" ht="14.25" customHeight="1" thickBot="1" x14ac:dyDescent="0.4">
      <c r="K354" s="6"/>
    </row>
    <row r="355" spans="11:11" ht="14.25" customHeight="1" thickBot="1" x14ac:dyDescent="0.4">
      <c r="K355" s="6"/>
    </row>
    <row r="356" spans="11:11" ht="14.25" customHeight="1" thickBot="1" x14ac:dyDescent="0.4">
      <c r="K356" s="6"/>
    </row>
    <row r="357" spans="11:11" ht="14.25" customHeight="1" thickBot="1" x14ac:dyDescent="0.4">
      <c r="K357" s="6"/>
    </row>
    <row r="358" spans="11:11" ht="14.25" customHeight="1" thickBot="1" x14ac:dyDescent="0.4">
      <c r="K358" s="6"/>
    </row>
    <row r="359" spans="11:11" ht="14.25" customHeight="1" thickBot="1" x14ac:dyDescent="0.4">
      <c r="K359" s="6"/>
    </row>
    <row r="360" spans="11:11" ht="14.25" customHeight="1" thickBot="1" x14ac:dyDescent="0.4">
      <c r="K360" s="6"/>
    </row>
    <row r="361" spans="11:11" ht="14.25" customHeight="1" thickBot="1" x14ac:dyDescent="0.4">
      <c r="K361" s="6"/>
    </row>
    <row r="362" spans="11:11" ht="14.25" customHeight="1" thickBot="1" x14ac:dyDescent="0.4">
      <c r="K362" s="6"/>
    </row>
    <row r="363" spans="11:11" ht="14.25" customHeight="1" thickBot="1" x14ac:dyDescent="0.4">
      <c r="K363" s="6"/>
    </row>
    <row r="364" spans="11:11" ht="14.25" customHeight="1" thickBot="1" x14ac:dyDescent="0.4">
      <c r="K364" s="6"/>
    </row>
    <row r="365" spans="11:11" ht="14.25" customHeight="1" thickBot="1" x14ac:dyDescent="0.4">
      <c r="K365" s="6"/>
    </row>
    <row r="366" spans="11:11" ht="14.25" customHeight="1" thickBot="1" x14ac:dyDescent="0.4">
      <c r="K366" s="6"/>
    </row>
    <row r="367" spans="11:11" ht="14.25" customHeight="1" thickBot="1" x14ac:dyDescent="0.4">
      <c r="K367" s="6"/>
    </row>
    <row r="368" spans="11:11" ht="14.25" customHeight="1" thickBot="1" x14ac:dyDescent="0.4">
      <c r="K368" s="6"/>
    </row>
    <row r="369" spans="11:11" ht="14.25" customHeight="1" thickBot="1" x14ac:dyDescent="0.4">
      <c r="K369" s="6"/>
    </row>
    <row r="370" spans="11:11" ht="14.25" customHeight="1" thickBot="1" x14ac:dyDescent="0.4">
      <c r="K370" s="6"/>
    </row>
    <row r="371" spans="11:11" ht="14.25" customHeight="1" thickBot="1" x14ac:dyDescent="0.4">
      <c r="K371" s="6"/>
    </row>
    <row r="372" spans="11:11" ht="14.25" customHeight="1" thickBot="1" x14ac:dyDescent="0.4">
      <c r="K372" s="6"/>
    </row>
    <row r="373" spans="11:11" ht="14.25" customHeight="1" thickBot="1" x14ac:dyDescent="0.4">
      <c r="K373" s="6"/>
    </row>
    <row r="374" spans="11:11" ht="14.25" customHeight="1" thickBot="1" x14ac:dyDescent="0.4">
      <c r="K374" s="6"/>
    </row>
    <row r="375" spans="11:11" ht="14.25" customHeight="1" thickBot="1" x14ac:dyDescent="0.4">
      <c r="K375" s="6"/>
    </row>
    <row r="376" spans="11:11" ht="14.25" customHeight="1" thickBot="1" x14ac:dyDescent="0.4">
      <c r="K376" s="6"/>
    </row>
    <row r="377" spans="11:11" ht="14.25" customHeight="1" thickBot="1" x14ac:dyDescent="0.4">
      <c r="K377" s="6"/>
    </row>
    <row r="378" spans="11:11" ht="14.25" customHeight="1" thickBot="1" x14ac:dyDescent="0.4">
      <c r="K378" s="6"/>
    </row>
    <row r="379" spans="11:11" ht="14.25" customHeight="1" thickBot="1" x14ac:dyDescent="0.4">
      <c r="K379" s="6"/>
    </row>
    <row r="380" spans="11:11" ht="14.25" customHeight="1" thickBot="1" x14ac:dyDescent="0.4">
      <c r="K380" s="6"/>
    </row>
    <row r="381" spans="11:11" ht="14.25" customHeight="1" thickBot="1" x14ac:dyDescent="0.4">
      <c r="K381" s="6"/>
    </row>
    <row r="382" spans="11:11" ht="14.25" customHeight="1" thickBot="1" x14ac:dyDescent="0.4">
      <c r="K382" s="6"/>
    </row>
    <row r="383" spans="11:11" ht="14.25" customHeight="1" thickBot="1" x14ac:dyDescent="0.4">
      <c r="K383" s="6"/>
    </row>
    <row r="384" spans="11:11" ht="14.25" customHeight="1" thickBot="1" x14ac:dyDescent="0.4">
      <c r="K384" s="6"/>
    </row>
    <row r="385" spans="11:11" ht="14.25" customHeight="1" thickBot="1" x14ac:dyDescent="0.4">
      <c r="K385" s="6"/>
    </row>
    <row r="386" spans="11:11" ht="14.25" customHeight="1" thickBot="1" x14ac:dyDescent="0.4">
      <c r="K386" s="6"/>
    </row>
    <row r="387" spans="11:11" ht="14.25" customHeight="1" thickBot="1" x14ac:dyDescent="0.4">
      <c r="K387" s="6"/>
    </row>
    <row r="388" spans="11:11" ht="14.25" customHeight="1" thickBot="1" x14ac:dyDescent="0.4">
      <c r="K388" s="6"/>
    </row>
    <row r="389" spans="11:11" ht="14.25" customHeight="1" thickBot="1" x14ac:dyDescent="0.4">
      <c r="K389" s="6"/>
    </row>
    <row r="390" spans="11:11" ht="14.25" customHeight="1" thickBot="1" x14ac:dyDescent="0.4">
      <c r="K390" s="6"/>
    </row>
    <row r="391" spans="11:11" ht="14.25" customHeight="1" thickBot="1" x14ac:dyDescent="0.4">
      <c r="K391" s="6"/>
    </row>
    <row r="392" spans="11:11" ht="14.25" customHeight="1" thickBot="1" x14ac:dyDescent="0.4">
      <c r="K392" s="6"/>
    </row>
    <row r="393" spans="11:11" ht="14.25" customHeight="1" thickBot="1" x14ac:dyDescent="0.4">
      <c r="K393" s="6"/>
    </row>
    <row r="394" spans="11:11" ht="14.25" customHeight="1" thickBot="1" x14ac:dyDescent="0.4">
      <c r="K394" s="6"/>
    </row>
    <row r="395" spans="11:11" ht="14.25" customHeight="1" thickBot="1" x14ac:dyDescent="0.4">
      <c r="K395" s="6"/>
    </row>
    <row r="396" spans="11:11" ht="14.25" customHeight="1" thickBot="1" x14ac:dyDescent="0.4">
      <c r="K396" s="6"/>
    </row>
    <row r="397" spans="11:11" ht="14.25" customHeight="1" thickBot="1" x14ac:dyDescent="0.4">
      <c r="K397" s="6"/>
    </row>
    <row r="398" spans="11:11" ht="14.25" customHeight="1" thickBot="1" x14ac:dyDescent="0.4">
      <c r="K398" s="6"/>
    </row>
    <row r="399" spans="11:11" ht="14.25" customHeight="1" thickBot="1" x14ac:dyDescent="0.4">
      <c r="K399" s="6"/>
    </row>
    <row r="400" spans="11:11" ht="14.25" customHeight="1" thickBot="1" x14ac:dyDescent="0.4">
      <c r="K400" s="6"/>
    </row>
    <row r="401" spans="11:11" ht="14.25" customHeight="1" thickBot="1" x14ac:dyDescent="0.4">
      <c r="K401" s="6"/>
    </row>
    <row r="402" spans="11:11" ht="14.25" customHeight="1" thickBot="1" x14ac:dyDescent="0.4">
      <c r="K402" s="6"/>
    </row>
    <row r="403" spans="11:11" ht="14.25" customHeight="1" thickBot="1" x14ac:dyDescent="0.4">
      <c r="K403" s="6"/>
    </row>
    <row r="404" spans="11:11" ht="14.25" customHeight="1" thickBot="1" x14ac:dyDescent="0.4">
      <c r="K404" s="6"/>
    </row>
    <row r="405" spans="11:11" ht="14.25" customHeight="1" thickBot="1" x14ac:dyDescent="0.4">
      <c r="K405" s="6"/>
    </row>
    <row r="406" spans="11:11" ht="14.25" customHeight="1" thickBot="1" x14ac:dyDescent="0.4">
      <c r="K406" s="6"/>
    </row>
    <row r="407" spans="11:11" ht="14.25" customHeight="1" thickBot="1" x14ac:dyDescent="0.4">
      <c r="K407" s="6"/>
    </row>
    <row r="408" spans="11:11" ht="14.25" customHeight="1" thickBot="1" x14ac:dyDescent="0.4">
      <c r="K408" s="6"/>
    </row>
    <row r="409" spans="11:11" ht="14.25" customHeight="1" thickBot="1" x14ac:dyDescent="0.4">
      <c r="K409" s="6"/>
    </row>
    <row r="410" spans="11:11" ht="14.25" customHeight="1" thickBot="1" x14ac:dyDescent="0.4">
      <c r="K410" s="6"/>
    </row>
    <row r="411" spans="11:11" ht="14.25" customHeight="1" thickBot="1" x14ac:dyDescent="0.4">
      <c r="K411" s="6"/>
    </row>
    <row r="412" spans="11:11" ht="14.25" customHeight="1" thickBot="1" x14ac:dyDescent="0.4">
      <c r="K412" s="6"/>
    </row>
    <row r="413" spans="11:11" ht="14.25" customHeight="1" thickBot="1" x14ac:dyDescent="0.4">
      <c r="K413" s="6"/>
    </row>
    <row r="414" spans="11:11" ht="14.25" customHeight="1" thickBot="1" x14ac:dyDescent="0.4">
      <c r="K414" s="6"/>
    </row>
    <row r="415" spans="11:11" ht="14.25" customHeight="1" thickBot="1" x14ac:dyDescent="0.4">
      <c r="K415" s="6"/>
    </row>
    <row r="416" spans="11:11" ht="14.25" customHeight="1" thickBot="1" x14ac:dyDescent="0.4">
      <c r="K416" s="6"/>
    </row>
    <row r="417" spans="11:11" ht="14.25" customHeight="1" thickBot="1" x14ac:dyDescent="0.4">
      <c r="K417" s="6"/>
    </row>
    <row r="418" spans="11:11" ht="14.25" customHeight="1" thickBot="1" x14ac:dyDescent="0.4">
      <c r="K418" s="6"/>
    </row>
    <row r="419" spans="11:11" ht="14.25" customHeight="1" thickBot="1" x14ac:dyDescent="0.4">
      <c r="K419" s="6"/>
    </row>
    <row r="420" spans="11:11" ht="14.25" customHeight="1" thickBot="1" x14ac:dyDescent="0.4">
      <c r="K420" s="6"/>
    </row>
    <row r="421" spans="11:11" ht="14.25" customHeight="1" thickBot="1" x14ac:dyDescent="0.4">
      <c r="K421" s="6"/>
    </row>
    <row r="422" spans="11:11" ht="14.25" customHeight="1" thickBot="1" x14ac:dyDescent="0.4">
      <c r="K422" s="6"/>
    </row>
    <row r="423" spans="11:11" ht="14.25" customHeight="1" thickBot="1" x14ac:dyDescent="0.4">
      <c r="K423" s="6"/>
    </row>
    <row r="424" spans="11:11" ht="14.25" customHeight="1" thickBot="1" x14ac:dyDescent="0.4">
      <c r="K424" s="6"/>
    </row>
    <row r="425" spans="11:11" ht="14.25" customHeight="1" thickBot="1" x14ac:dyDescent="0.4">
      <c r="K425" s="6"/>
    </row>
    <row r="426" spans="11:11" ht="14.25" customHeight="1" thickBot="1" x14ac:dyDescent="0.4">
      <c r="K426" s="6"/>
    </row>
    <row r="427" spans="11:11" ht="14.25" customHeight="1" thickBot="1" x14ac:dyDescent="0.4">
      <c r="K427" s="6"/>
    </row>
    <row r="428" spans="11:11" ht="14.25" customHeight="1" thickBot="1" x14ac:dyDescent="0.4">
      <c r="K428" s="6"/>
    </row>
    <row r="429" spans="11:11" ht="14.25" customHeight="1" thickBot="1" x14ac:dyDescent="0.4">
      <c r="K429" s="6"/>
    </row>
    <row r="430" spans="11:11" ht="14.25" customHeight="1" thickBot="1" x14ac:dyDescent="0.4">
      <c r="K430" s="6"/>
    </row>
    <row r="431" spans="11:11" ht="14.25" customHeight="1" thickBot="1" x14ac:dyDescent="0.4">
      <c r="K431" s="6"/>
    </row>
    <row r="432" spans="11:11" ht="14.25" customHeight="1" thickBot="1" x14ac:dyDescent="0.4">
      <c r="K432" s="6"/>
    </row>
    <row r="433" spans="11:11" ht="14.25" customHeight="1" thickBot="1" x14ac:dyDescent="0.4">
      <c r="K433" s="6"/>
    </row>
    <row r="434" spans="11:11" ht="14.25" customHeight="1" thickBot="1" x14ac:dyDescent="0.4">
      <c r="K434" s="6"/>
    </row>
    <row r="435" spans="11:11" ht="14.25" customHeight="1" thickBot="1" x14ac:dyDescent="0.4">
      <c r="K435" s="6"/>
    </row>
    <row r="436" spans="11:11" ht="14.25" customHeight="1" thickBot="1" x14ac:dyDescent="0.4">
      <c r="K436" s="6"/>
    </row>
    <row r="437" spans="11:11" ht="14.25" customHeight="1" thickBot="1" x14ac:dyDescent="0.4">
      <c r="K437" s="6"/>
    </row>
    <row r="438" spans="11:11" ht="14.25" customHeight="1" thickBot="1" x14ac:dyDescent="0.4">
      <c r="K438" s="6"/>
    </row>
    <row r="439" spans="11:11" ht="14.25" customHeight="1" thickBot="1" x14ac:dyDescent="0.4">
      <c r="K439" s="6"/>
    </row>
    <row r="440" spans="11:11" ht="14.25" customHeight="1" thickBot="1" x14ac:dyDescent="0.4">
      <c r="K440" s="6"/>
    </row>
    <row r="441" spans="11:11" ht="14.25" customHeight="1" thickBot="1" x14ac:dyDescent="0.4">
      <c r="K441" s="6"/>
    </row>
    <row r="442" spans="11:11" ht="14.25" customHeight="1" thickBot="1" x14ac:dyDescent="0.4">
      <c r="K442" s="6"/>
    </row>
    <row r="443" spans="11:11" ht="14.25" customHeight="1" thickBot="1" x14ac:dyDescent="0.4">
      <c r="K443" s="6"/>
    </row>
    <row r="444" spans="11:11" ht="14.25" customHeight="1" thickBot="1" x14ac:dyDescent="0.4">
      <c r="K444" s="6"/>
    </row>
    <row r="445" spans="11:11" ht="14.25" customHeight="1" thickBot="1" x14ac:dyDescent="0.4">
      <c r="K445" s="6"/>
    </row>
    <row r="446" spans="11:11" ht="14.25" customHeight="1" thickBot="1" x14ac:dyDescent="0.4">
      <c r="K446" s="6"/>
    </row>
    <row r="447" spans="11:11" ht="14.25" customHeight="1" thickBot="1" x14ac:dyDescent="0.4">
      <c r="K447" s="6"/>
    </row>
    <row r="448" spans="11:11" ht="14.25" customHeight="1" thickBot="1" x14ac:dyDescent="0.4">
      <c r="K448" s="6"/>
    </row>
    <row r="449" spans="11:11" ht="14.25" customHeight="1" thickBot="1" x14ac:dyDescent="0.4">
      <c r="K449" s="6"/>
    </row>
    <row r="450" spans="11:11" ht="14.25" customHeight="1" thickBot="1" x14ac:dyDescent="0.4">
      <c r="K450" s="6"/>
    </row>
    <row r="451" spans="11:11" ht="14.25" customHeight="1" thickBot="1" x14ac:dyDescent="0.4">
      <c r="K451" s="6"/>
    </row>
    <row r="452" spans="11:11" ht="14.25" customHeight="1" thickBot="1" x14ac:dyDescent="0.4">
      <c r="K452" s="6"/>
    </row>
    <row r="453" spans="11:11" ht="14.25" customHeight="1" thickBot="1" x14ac:dyDescent="0.4">
      <c r="K453" s="6"/>
    </row>
    <row r="454" spans="11:11" ht="14.25" customHeight="1" thickBot="1" x14ac:dyDescent="0.4">
      <c r="K454" s="6"/>
    </row>
    <row r="455" spans="11:11" ht="14.25" customHeight="1" thickBot="1" x14ac:dyDescent="0.4">
      <c r="K455" s="6"/>
    </row>
    <row r="456" spans="11:11" ht="14.25" customHeight="1" thickBot="1" x14ac:dyDescent="0.4">
      <c r="K456" s="6"/>
    </row>
    <row r="457" spans="11:11" ht="14.25" customHeight="1" thickBot="1" x14ac:dyDescent="0.4">
      <c r="K457" s="6"/>
    </row>
    <row r="458" spans="11:11" ht="14.25" customHeight="1" thickBot="1" x14ac:dyDescent="0.4">
      <c r="K458" s="6"/>
    </row>
    <row r="459" spans="11:11" ht="14.25" customHeight="1" thickBot="1" x14ac:dyDescent="0.4">
      <c r="K459" s="6"/>
    </row>
    <row r="460" spans="11:11" ht="14.25" customHeight="1" thickBot="1" x14ac:dyDescent="0.4">
      <c r="K460" s="6"/>
    </row>
    <row r="461" spans="11:11" ht="14.25" customHeight="1" thickBot="1" x14ac:dyDescent="0.4">
      <c r="K461" s="6"/>
    </row>
    <row r="462" spans="11:11" ht="14.25" customHeight="1" thickBot="1" x14ac:dyDescent="0.4">
      <c r="K462" s="6"/>
    </row>
    <row r="463" spans="11:11" ht="14.25" customHeight="1" thickBot="1" x14ac:dyDescent="0.4">
      <c r="K463" s="6"/>
    </row>
    <row r="464" spans="11:11" ht="14.25" customHeight="1" thickBot="1" x14ac:dyDescent="0.4">
      <c r="K464" s="6"/>
    </row>
    <row r="465" spans="11:11" ht="14.25" customHeight="1" thickBot="1" x14ac:dyDescent="0.4">
      <c r="K465" s="6"/>
    </row>
    <row r="466" spans="11:11" ht="14.25" customHeight="1" thickBot="1" x14ac:dyDescent="0.4">
      <c r="K466" s="6"/>
    </row>
    <row r="467" spans="11:11" ht="14.25" customHeight="1" thickBot="1" x14ac:dyDescent="0.4">
      <c r="K467" s="6"/>
    </row>
    <row r="468" spans="11:11" ht="14.25" customHeight="1" thickBot="1" x14ac:dyDescent="0.4">
      <c r="K468" s="6"/>
    </row>
    <row r="469" spans="11:11" ht="14.25" customHeight="1" thickBot="1" x14ac:dyDescent="0.4">
      <c r="K469" s="6"/>
    </row>
    <row r="470" spans="11:11" ht="14.25" customHeight="1" thickBot="1" x14ac:dyDescent="0.4">
      <c r="K470" s="6"/>
    </row>
    <row r="471" spans="11:11" ht="14.25" customHeight="1" thickBot="1" x14ac:dyDescent="0.4">
      <c r="K471" s="6"/>
    </row>
    <row r="472" spans="11:11" ht="14.25" customHeight="1" thickBot="1" x14ac:dyDescent="0.4">
      <c r="K472" s="6"/>
    </row>
    <row r="473" spans="11:11" ht="14.25" customHeight="1" thickBot="1" x14ac:dyDescent="0.4">
      <c r="K473" s="6"/>
    </row>
    <row r="474" spans="11:11" ht="14.25" customHeight="1" thickBot="1" x14ac:dyDescent="0.4">
      <c r="K474" s="6"/>
    </row>
    <row r="475" spans="11:11" ht="14.25" customHeight="1" thickBot="1" x14ac:dyDescent="0.4">
      <c r="K475" s="6"/>
    </row>
    <row r="476" spans="11:11" ht="14.25" customHeight="1" thickBot="1" x14ac:dyDescent="0.4">
      <c r="K476" s="6"/>
    </row>
    <row r="477" spans="11:11" ht="14.25" customHeight="1" thickBot="1" x14ac:dyDescent="0.4">
      <c r="K477" s="6"/>
    </row>
    <row r="478" spans="11:11" ht="14.25" customHeight="1" thickBot="1" x14ac:dyDescent="0.4">
      <c r="K478" s="6"/>
    </row>
    <row r="479" spans="11:11" ht="14.25" customHeight="1" thickBot="1" x14ac:dyDescent="0.4">
      <c r="K479" s="6"/>
    </row>
    <row r="480" spans="11:11" ht="14.25" customHeight="1" thickBot="1" x14ac:dyDescent="0.4">
      <c r="K480" s="6"/>
    </row>
    <row r="481" spans="11:11" ht="14.25" customHeight="1" thickBot="1" x14ac:dyDescent="0.4">
      <c r="K481" s="6"/>
    </row>
    <row r="482" spans="11:11" ht="14.25" customHeight="1" thickBot="1" x14ac:dyDescent="0.4">
      <c r="K482" s="6"/>
    </row>
    <row r="483" spans="11:11" ht="14.25" customHeight="1" thickBot="1" x14ac:dyDescent="0.4">
      <c r="K483" s="6"/>
    </row>
    <row r="484" spans="11:11" ht="14.25" customHeight="1" thickBot="1" x14ac:dyDescent="0.4">
      <c r="K484" s="6"/>
    </row>
    <row r="485" spans="11:11" ht="14.25" customHeight="1" thickBot="1" x14ac:dyDescent="0.4">
      <c r="K485" s="6"/>
    </row>
    <row r="486" spans="11:11" ht="14.25" customHeight="1" thickBot="1" x14ac:dyDescent="0.4">
      <c r="K486" s="6"/>
    </row>
    <row r="487" spans="11:11" ht="14.25" customHeight="1" thickBot="1" x14ac:dyDescent="0.4">
      <c r="K487" s="6"/>
    </row>
    <row r="488" spans="11:11" ht="14.25" customHeight="1" thickBot="1" x14ac:dyDescent="0.4">
      <c r="K488" s="6"/>
    </row>
    <row r="489" spans="11:11" ht="14.25" customHeight="1" thickBot="1" x14ac:dyDescent="0.4">
      <c r="K489" s="6"/>
    </row>
    <row r="490" spans="11:11" ht="14.25" customHeight="1" thickBot="1" x14ac:dyDescent="0.4">
      <c r="K490" s="6"/>
    </row>
    <row r="491" spans="11:11" ht="14.25" customHeight="1" thickBot="1" x14ac:dyDescent="0.4">
      <c r="K491" s="6"/>
    </row>
    <row r="492" spans="11:11" ht="14.25" customHeight="1" thickBot="1" x14ac:dyDescent="0.4">
      <c r="K492" s="6"/>
    </row>
    <row r="493" spans="11:11" ht="14.25" customHeight="1" thickBot="1" x14ac:dyDescent="0.4">
      <c r="K493" s="6"/>
    </row>
    <row r="494" spans="11:11" ht="14.25" customHeight="1" thickBot="1" x14ac:dyDescent="0.4">
      <c r="K494" s="6"/>
    </row>
    <row r="495" spans="11:11" ht="14.25" customHeight="1" thickBot="1" x14ac:dyDescent="0.4">
      <c r="K495" s="6"/>
    </row>
    <row r="496" spans="11:11" ht="14.25" customHeight="1" thickBot="1" x14ac:dyDescent="0.4">
      <c r="K496" s="6"/>
    </row>
    <row r="497" spans="11:11" ht="14.25" customHeight="1" thickBot="1" x14ac:dyDescent="0.4">
      <c r="K497" s="6"/>
    </row>
    <row r="498" spans="11:11" ht="14.25" customHeight="1" thickBot="1" x14ac:dyDescent="0.4">
      <c r="K498" s="6"/>
    </row>
    <row r="499" spans="11:11" ht="14.25" customHeight="1" thickBot="1" x14ac:dyDescent="0.4">
      <c r="K499" s="6"/>
    </row>
    <row r="500" spans="11:11" ht="14.25" customHeight="1" thickBot="1" x14ac:dyDescent="0.4">
      <c r="K500" s="6"/>
    </row>
    <row r="501" spans="11:11" ht="14.25" customHeight="1" thickBot="1" x14ac:dyDescent="0.4">
      <c r="K501" s="6"/>
    </row>
    <row r="502" spans="11:11" ht="14.25" customHeight="1" x14ac:dyDescent="0.35"/>
    <row r="503" spans="11:11" ht="14.25" customHeight="1" x14ac:dyDescent="0.35"/>
    <row r="504" spans="11:11" ht="14.25" customHeight="1" x14ac:dyDescent="0.35"/>
    <row r="505" spans="11:11" ht="14.25" customHeight="1" x14ac:dyDescent="0.35"/>
    <row r="506" spans="11:11" ht="14.25" customHeight="1" x14ac:dyDescent="0.35"/>
    <row r="507" spans="11:11" ht="14.25" customHeight="1" x14ac:dyDescent="0.35"/>
    <row r="508" spans="11:11" ht="14.25" customHeight="1" x14ac:dyDescent="0.35"/>
    <row r="509" spans="11:11" ht="14.25" customHeight="1" x14ac:dyDescent="0.35"/>
    <row r="510" spans="11:11" ht="14.25" customHeight="1" x14ac:dyDescent="0.35"/>
    <row r="511" spans="11:11" ht="14.25" customHeight="1" x14ac:dyDescent="0.35"/>
    <row r="512" spans="11:11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P301" xr:uid="{00000000-0001-0000-0000-000000000000}"/>
  <phoneticPr fontId="7" type="noConversion"/>
  <conditionalFormatting sqref="D1:D1048576">
    <cfRule type="containsText" dxfId="6" priority="5" operator="containsText" text="Image">
      <formula>NOT(ISERROR(SEARCH("Image",D1)))</formula>
    </cfRule>
    <cfRule type="containsText" dxfId="5" priority="6" operator="containsText" text="Carousel">
      <formula>NOT(ISERROR(SEARCH("Carousel",D1)))</formula>
    </cfRule>
    <cfRule type="containsText" dxfId="4" priority="7" operator="containsText" text="$D$8">
      <formula>NOT(ISERROR(SEARCH("$D$8",D1)))</formula>
    </cfRule>
  </conditionalFormatting>
  <conditionalFormatting sqref="E1:E301">
    <cfRule type="containsText" dxfId="3" priority="8" operator="containsText" text="#MacBookAir">
      <formula>NOT(ISERROR(SEARCH("#MacBookAir",E1)))</formula>
    </cfRule>
    <cfRule type="containsText" dxfId="2" priority="9" operator="containsText" text="#iPhone16Launch">
      <formula>NOT(ISERROR(SEARCH("#iPhone16Launch",E1)))</formula>
    </cfRule>
    <cfRule type="containsText" dxfId="1" priority="10" operator="containsText" text="#AppleEvent">
      <formula>NOT(ISERROR(SEARCH("#AppleEvent",E1)))</formula>
    </cfRule>
    <cfRule type="containsText" dxfId="0" priority="11" operator="containsText" text="#ShotOniPhone">
      <formula>NOT(ISERROR(SEARCH("#ShotOniPhone",E1)))</formula>
    </cfRule>
  </conditionalFormatting>
  <pageMargins left="0.75" right="0.75" top="1" bottom="1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F1DFC02C-E3D6-4AF1-8967-2A7AAC10D4C4}">
            <xm:f>NOT(ISERROR(SEARCH($B$3,B1)))</xm:f>
            <xm:f>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84D5126F-4AD3-4583-BD2E-4D7181EAB1D9}">
            <xm:f>NOT(ISERROR(SEARCH($B$11,B1)))</xm:f>
            <xm:f>$B$11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3" operator="containsText" id="{902AB51A-0003-493E-940F-86562A5C1F9C}">
            <xm:f>NOT(ISERROR(SEARCH($B$4,B1)))</xm:f>
            <xm:f>$B$4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4" operator="containsText" id="{050A1272-B69B-4F39-9393-A61C72B776D8}">
            <xm:f>NOT(ISERROR(SEARCH($B$2,B1)))</xm:f>
            <xm:f>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E12" sqref="E12"/>
    </sheetView>
  </sheetViews>
  <sheetFormatPr defaultColWidth="14.453125" defaultRowHeight="15" customHeight="1" x14ac:dyDescent="0.35"/>
  <cols>
    <col min="2" max="2" width="30.26953125" customWidth="1"/>
    <col min="3" max="3" width="11.08984375" customWidth="1"/>
    <col min="4" max="4" width="15.81640625" customWidth="1"/>
    <col min="5" max="5" width="13.453125" customWidth="1"/>
    <col min="6" max="6" width="21.08984375" customWidth="1"/>
    <col min="7" max="27" width="8.7265625" customWidth="1"/>
  </cols>
  <sheetData>
    <row r="1" spans="1:12" ht="14.25" customHeight="1" x14ac:dyDescent="0.35">
      <c r="A1" s="16" t="s">
        <v>572</v>
      </c>
      <c r="B1" s="1" t="s">
        <v>504</v>
      </c>
      <c r="C1" s="1" t="s">
        <v>1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  <c r="I1" s="11" t="s">
        <v>561</v>
      </c>
      <c r="J1" s="17" t="s">
        <v>592</v>
      </c>
      <c r="K1" s="17" t="s">
        <v>610</v>
      </c>
      <c r="L1" s="17" t="s">
        <v>616</v>
      </c>
    </row>
    <row r="2" spans="1:12" ht="14.25" customHeight="1" x14ac:dyDescent="0.35">
      <c r="A2" t="s">
        <v>573</v>
      </c>
      <c r="B2" s="22" t="s">
        <v>188</v>
      </c>
      <c r="C2" s="3" t="s">
        <v>23</v>
      </c>
      <c r="D2" s="3">
        <v>4138</v>
      </c>
      <c r="E2" s="3">
        <v>361</v>
      </c>
      <c r="F2" s="3">
        <v>103777</v>
      </c>
      <c r="G2" s="3">
        <v>56.637790647253247</v>
      </c>
      <c r="H2" s="3">
        <v>23944</v>
      </c>
      <c r="I2">
        <v>5877700</v>
      </c>
      <c r="J2" s="15">
        <f>H2/D2</f>
        <v>5.7863702271628803</v>
      </c>
      <c r="K2" s="15">
        <f>I2/H2</f>
        <v>245.47694620781823</v>
      </c>
      <c r="L2">
        <f>D2-E2</f>
        <v>3777</v>
      </c>
    </row>
    <row r="3" spans="1:12" ht="14.25" customHeight="1" x14ac:dyDescent="0.35">
      <c r="A3" t="s">
        <v>573</v>
      </c>
      <c r="B3" s="22" t="s">
        <v>188</v>
      </c>
      <c r="C3" s="3" t="s">
        <v>46</v>
      </c>
      <c r="D3" s="3">
        <v>8693</v>
      </c>
      <c r="E3" s="3">
        <v>1261</v>
      </c>
      <c r="F3" s="3">
        <v>111209</v>
      </c>
      <c r="G3" s="3">
        <v>69.475492091467416</v>
      </c>
      <c r="H3" s="3">
        <v>29873</v>
      </c>
      <c r="I3">
        <v>7726300</v>
      </c>
      <c r="J3" s="15">
        <f t="shared" ref="J3:J66" si="0">H3/D3</f>
        <v>3.4364431151501207</v>
      </c>
      <c r="K3" s="15">
        <f t="shared" ref="K3:K66" si="1">I3/H3</f>
        <v>258.63823519566165</v>
      </c>
      <c r="L3">
        <f t="shared" ref="L3:L66" si="2">D3-E3</f>
        <v>7432</v>
      </c>
    </row>
    <row r="4" spans="1:12" ht="14.25" customHeight="1" x14ac:dyDescent="0.35">
      <c r="A4" t="s">
        <v>573</v>
      </c>
      <c r="B4" s="22" t="s">
        <v>188</v>
      </c>
      <c r="C4" s="3" t="s">
        <v>13</v>
      </c>
      <c r="D4" s="3">
        <v>9264</v>
      </c>
      <c r="E4" s="3">
        <v>1141</v>
      </c>
      <c r="F4" s="3">
        <v>119332</v>
      </c>
      <c r="G4" s="3">
        <v>92.312204605638044</v>
      </c>
      <c r="H4" s="3">
        <v>50372</v>
      </c>
      <c r="I4">
        <v>11015800</v>
      </c>
      <c r="J4" s="15">
        <f t="shared" si="0"/>
        <v>5.4373920552677033</v>
      </c>
      <c r="K4" s="15">
        <f t="shared" si="1"/>
        <v>218.68895418089414</v>
      </c>
      <c r="L4">
        <f t="shared" si="2"/>
        <v>8123</v>
      </c>
    </row>
    <row r="5" spans="1:12" ht="14.25" customHeight="1" x14ac:dyDescent="0.35">
      <c r="A5" t="s">
        <v>573</v>
      </c>
      <c r="B5" s="22" t="s">
        <v>188</v>
      </c>
      <c r="C5" s="3" t="s">
        <v>13</v>
      </c>
      <c r="D5" s="3">
        <v>8842</v>
      </c>
      <c r="E5" s="3">
        <v>971</v>
      </c>
      <c r="F5" s="3">
        <v>127203</v>
      </c>
      <c r="G5" s="3">
        <v>16.351815601833291</v>
      </c>
      <c r="H5" s="3">
        <v>33928</v>
      </c>
      <c r="I5">
        <v>2080000</v>
      </c>
      <c r="J5" s="15">
        <f t="shared" si="0"/>
        <v>3.8371409183442662</v>
      </c>
      <c r="K5" s="15">
        <f t="shared" si="1"/>
        <v>61.306295684979958</v>
      </c>
      <c r="L5">
        <f t="shared" si="2"/>
        <v>7871</v>
      </c>
    </row>
    <row r="6" spans="1:12" ht="14.25" customHeight="1" x14ac:dyDescent="0.35">
      <c r="A6" t="s">
        <v>573</v>
      </c>
      <c r="B6" s="22" t="s">
        <v>201</v>
      </c>
      <c r="C6" s="3" t="s">
        <v>23</v>
      </c>
      <c r="D6" s="3">
        <v>7721</v>
      </c>
      <c r="E6" s="3">
        <v>506</v>
      </c>
      <c r="F6" s="3">
        <v>134418</v>
      </c>
      <c r="G6" s="3">
        <v>35.577824398518047</v>
      </c>
      <c r="H6" s="3">
        <v>25379</v>
      </c>
      <c r="I6">
        <v>4782299.9999999991</v>
      </c>
      <c r="J6" s="15">
        <f t="shared" si="0"/>
        <v>3.2870094547338429</v>
      </c>
      <c r="K6" s="15">
        <f t="shared" si="1"/>
        <v>188.43532054060441</v>
      </c>
      <c r="L6">
        <f t="shared" si="2"/>
        <v>7215</v>
      </c>
    </row>
    <row r="7" spans="1:12" ht="14.25" customHeight="1" x14ac:dyDescent="0.35">
      <c r="A7" t="s">
        <v>573</v>
      </c>
      <c r="B7" s="22" t="s">
        <v>201</v>
      </c>
      <c r="C7" s="3" t="s">
        <v>13</v>
      </c>
      <c r="D7" s="3">
        <v>8002</v>
      </c>
      <c r="E7" s="3">
        <v>524</v>
      </c>
      <c r="F7" s="3">
        <v>141896</v>
      </c>
      <c r="G7" s="3">
        <v>52.064892597395271</v>
      </c>
      <c r="H7" s="3">
        <v>46751</v>
      </c>
      <c r="I7">
        <v>7387799.9999999991</v>
      </c>
      <c r="J7" s="15">
        <f t="shared" si="0"/>
        <v>5.8424143964008994</v>
      </c>
      <c r="K7" s="15">
        <f t="shared" si="1"/>
        <v>158.02442728497783</v>
      </c>
      <c r="L7">
        <f t="shared" si="2"/>
        <v>7478</v>
      </c>
    </row>
    <row r="8" spans="1:12" ht="14.25" customHeight="1" x14ac:dyDescent="0.35">
      <c r="A8" t="s">
        <v>573</v>
      </c>
      <c r="B8" s="22" t="s">
        <v>201</v>
      </c>
      <c r="C8" s="3" t="s">
        <v>46</v>
      </c>
      <c r="D8" s="3">
        <v>5225</v>
      </c>
      <c r="E8" s="3">
        <v>291</v>
      </c>
      <c r="F8" s="3">
        <v>146830</v>
      </c>
      <c r="G8" s="3">
        <v>19.551862698358651</v>
      </c>
      <c r="H8" s="3">
        <v>44546</v>
      </c>
      <c r="I8">
        <v>2870800.0000000005</v>
      </c>
      <c r="J8" s="15">
        <f t="shared" si="0"/>
        <v>8.52555023923445</v>
      </c>
      <c r="K8" s="15">
        <f t="shared" si="1"/>
        <v>64.445741480716578</v>
      </c>
      <c r="L8">
        <f t="shared" si="2"/>
        <v>4934</v>
      </c>
    </row>
    <row r="9" spans="1:12" ht="14.25" customHeight="1" x14ac:dyDescent="0.35">
      <c r="A9" t="s">
        <v>573</v>
      </c>
      <c r="B9" s="22" t="s">
        <v>201</v>
      </c>
      <c r="C9" s="3" t="s">
        <v>46</v>
      </c>
      <c r="D9" s="3">
        <v>3978</v>
      </c>
      <c r="E9" s="3">
        <v>543</v>
      </c>
      <c r="F9" s="3">
        <v>150265</v>
      </c>
      <c r="G9" s="3">
        <v>49.159817655475329</v>
      </c>
      <c r="H9" s="3">
        <v>34286</v>
      </c>
      <c r="I9">
        <v>7387000</v>
      </c>
      <c r="J9" s="15">
        <f t="shared" si="0"/>
        <v>8.6189039718451479</v>
      </c>
      <c r="K9" s="15">
        <f t="shared" si="1"/>
        <v>215.45237123023975</v>
      </c>
      <c r="L9">
        <f t="shared" si="2"/>
        <v>3435</v>
      </c>
    </row>
    <row r="10" spans="1:12" ht="14.25" customHeight="1" x14ac:dyDescent="0.35">
      <c r="A10" t="s">
        <v>573</v>
      </c>
      <c r="B10" s="22" t="s">
        <v>126</v>
      </c>
      <c r="C10" s="3" t="s">
        <v>23</v>
      </c>
      <c r="D10" s="3">
        <v>8373</v>
      </c>
      <c r="E10" s="3">
        <v>921</v>
      </c>
      <c r="F10" s="3">
        <v>157717</v>
      </c>
      <c r="G10" s="3">
        <v>12.2263294381709</v>
      </c>
      <c r="H10" s="3">
        <v>15110</v>
      </c>
      <c r="I10">
        <v>1928299.9999999998</v>
      </c>
      <c r="J10" s="15">
        <f t="shared" si="0"/>
        <v>1.8046100561328078</v>
      </c>
      <c r="K10" s="15">
        <f t="shared" si="1"/>
        <v>127.61747187293182</v>
      </c>
      <c r="L10">
        <f t="shared" si="2"/>
        <v>7452</v>
      </c>
    </row>
    <row r="11" spans="1:12" ht="14.25" customHeight="1" x14ac:dyDescent="0.35">
      <c r="A11" t="s">
        <v>573</v>
      </c>
      <c r="B11" s="22" t="s">
        <v>126</v>
      </c>
      <c r="C11" s="3" t="s">
        <v>46</v>
      </c>
      <c r="D11" s="3">
        <v>6907</v>
      </c>
      <c r="E11" s="3">
        <v>834</v>
      </c>
      <c r="F11" s="3">
        <v>163790</v>
      </c>
      <c r="G11" s="3">
        <v>54.158984064961238</v>
      </c>
      <c r="H11" s="3">
        <v>22087</v>
      </c>
      <c r="I11">
        <v>8870700.0000000019</v>
      </c>
      <c r="J11" s="15">
        <f t="shared" si="0"/>
        <v>3.1977703778775157</v>
      </c>
      <c r="K11" s="15">
        <f t="shared" si="1"/>
        <v>401.62539050119989</v>
      </c>
      <c r="L11">
        <f t="shared" si="2"/>
        <v>6073</v>
      </c>
    </row>
    <row r="12" spans="1:12" ht="14.25" customHeight="1" x14ac:dyDescent="0.35">
      <c r="A12" t="s">
        <v>573</v>
      </c>
      <c r="B12" s="22" t="s">
        <v>126</v>
      </c>
      <c r="C12" s="3" t="s">
        <v>19</v>
      </c>
      <c r="D12" s="3">
        <v>7097</v>
      </c>
      <c r="E12" s="3">
        <v>369</v>
      </c>
      <c r="F12" s="3">
        <v>170518</v>
      </c>
      <c r="G12" s="3">
        <v>9.2506362964613711</v>
      </c>
      <c r="H12" s="3">
        <v>33762</v>
      </c>
      <c r="I12">
        <v>1577400</v>
      </c>
      <c r="J12" s="15">
        <f t="shared" si="0"/>
        <v>4.7572213611385088</v>
      </c>
      <c r="K12" s="15">
        <f t="shared" si="1"/>
        <v>46.721165807712815</v>
      </c>
      <c r="L12">
        <f t="shared" si="2"/>
        <v>6728</v>
      </c>
    </row>
    <row r="13" spans="1:12" ht="14.25" customHeight="1" x14ac:dyDescent="0.35">
      <c r="A13" t="s">
        <v>573</v>
      </c>
      <c r="B13" s="22" t="s">
        <v>126</v>
      </c>
      <c r="C13" s="3" t="s">
        <v>23</v>
      </c>
      <c r="D13" s="3">
        <v>6656</v>
      </c>
      <c r="E13" s="3">
        <v>978</v>
      </c>
      <c r="F13" s="3">
        <v>176196</v>
      </c>
      <c r="G13" s="3">
        <v>60.425889350496043</v>
      </c>
      <c r="H13" s="3">
        <v>27081</v>
      </c>
      <c r="I13">
        <v>10646800</v>
      </c>
      <c r="J13" s="15">
        <f t="shared" si="0"/>
        <v>4.0686598557692308</v>
      </c>
      <c r="K13" s="15">
        <f t="shared" si="1"/>
        <v>393.14648646652637</v>
      </c>
      <c r="L13">
        <f t="shared" si="2"/>
        <v>5678</v>
      </c>
    </row>
    <row r="14" spans="1:12" ht="14.25" customHeight="1" x14ac:dyDescent="0.35">
      <c r="A14" t="s">
        <v>573</v>
      </c>
      <c r="B14" s="22" t="s">
        <v>37</v>
      </c>
      <c r="C14" s="3" t="s">
        <v>46</v>
      </c>
      <c r="D14" s="3">
        <v>9984</v>
      </c>
      <c r="E14" s="3">
        <v>1330</v>
      </c>
      <c r="F14" s="3">
        <v>184850</v>
      </c>
      <c r="G14" s="3">
        <v>57.524479307546663</v>
      </c>
      <c r="H14" s="3">
        <v>44947</v>
      </c>
      <c r="I14">
        <v>10633400</v>
      </c>
      <c r="J14" s="15">
        <f t="shared" si="0"/>
        <v>4.5019030448717947</v>
      </c>
      <c r="K14" s="15">
        <f t="shared" si="1"/>
        <v>236.57641221883551</v>
      </c>
      <c r="L14">
        <f t="shared" si="2"/>
        <v>8654</v>
      </c>
    </row>
    <row r="15" spans="1:12" ht="14.25" customHeight="1" x14ac:dyDescent="0.35">
      <c r="A15" t="s">
        <v>573</v>
      </c>
      <c r="B15" s="22" t="s">
        <v>37</v>
      </c>
      <c r="C15" s="3" t="s">
        <v>23</v>
      </c>
      <c r="D15" s="3">
        <v>5259</v>
      </c>
      <c r="E15" s="3">
        <v>374</v>
      </c>
      <c r="F15" s="3">
        <v>189735</v>
      </c>
      <c r="G15" s="3">
        <v>14.827522597306769</v>
      </c>
      <c r="H15" s="3">
        <v>19596</v>
      </c>
      <c r="I15">
        <v>2813300</v>
      </c>
      <c r="J15" s="15">
        <f t="shared" si="0"/>
        <v>3.7261836851112378</v>
      </c>
      <c r="K15" s="15">
        <f t="shared" si="1"/>
        <v>143.56501326801387</v>
      </c>
      <c r="L15">
        <f t="shared" si="2"/>
        <v>4885</v>
      </c>
    </row>
    <row r="16" spans="1:12" ht="14.25" customHeight="1" x14ac:dyDescent="0.35">
      <c r="A16" t="s">
        <v>573</v>
      </c>
      <c r="B16" s="22" t="s">
        <v>37</v>
      </c>
      <c r="C16" s="3" t="s">
        <v>13</v>
      </c>
      <c r="D16" s="3">
        <v>9286</v>
      </c>
      <c r="E16" s="3">
        <v>633</v>
      </c>
      <c r="F16" s="3">
        <v>198388</v>
      </c>
      <c r="G16" s="3">
        <v>5.4343004617214756</v>
      </c>
      <c r="H16" s="3">
        <v>48019</v>
      </c>
      <c r="I16">
        <v>1078100</v>
      </c>
      <c r="J16" s="15">
        <f t="shared" si="0"/>
        <v>5.1711178117596379</v>
      </c>
      <c r="K16" s="15">
        <f t="shared" si="1"/>
        <v>22.451529602865531</v>
      </c>
      <c r="L16">
        <f t="shared" si="2"/>
        <v>8653</v>
      </c>
    </row>
    <row r="17" spans="1:12" ht="14.25" customHeight="1" x14ac:dyDescent="0.35">
      <c r="A17" t="s">
        <v>573</v>
      </c>
      <c r="B17" s="22" t="s">
        <v>37</v>
      </c>
      <c r="C17" s="3" t="s">
        <v>46</v>
      </c>
      <c r="D17" s="3">
        <v>6901</v>
      </c>
      <c r="E17" s="3">
        <v>471</v>
      </c>
      <c r="F17" s="3">
        <v>204818</v>
      </c>
      <c r="G17" s="3">
        <v>60.827661631301943</v>
      </c>
      <c r="H17" s="3">
        <v>52003</v>
      </c>
      <c r="I17">
        <v>12458600.000000002</v>
      </c>
      <c r="J17" s="15">
        <f t="shared" si="0"/>
        <v>7.5355745544124044</v>
      </c>
      <c r="K17" s="15">
        <f t="shared" si="1"/>
        <v>239.57463992461976</v>
      </c>
      <c r="L17">
        <f t="shared" si="2"/>
        <v>6430</v>
      </c>
    </row>
    <row r="18" spans="1:12" ht="14.25" customHeight="1" x14ac:dyDescent="0.35">
      <c r="A18" t="s">
        <v>574</v>
      </c>
      <c r="B18" s="22" t="s">
        <v>395</v>
      </c>
      <c r="C18" s="3" t="s">
        <v>19</v>
      </c>
      <c r="D18" s="3">
        <v>5917</v>
      </c>
      <c r="E18" s="3">
        <v>475</v>
      </c>
      <c r="F18" s="3">
        <v>210260</v>
      </c>
      <c r="G18" s="3">
        <v>17.894035955483691</v>
      </c>
      <c r="H18" s="3">
        <v>28313</v>
      </c>
      <c r="I18">
        <v>3762400.0000000009</v>
      </c>
      <c r="J18" s="15">
        <f t="shared" si="0"/>
        <v>4.7850261957072844</v>
      </c>
      <c r="K18" s="15">
        <f t="shared" si="1"/>
        <v>132.88595344894574</v>
      </c>
      <c r="L18">
        <f t="shared" si="2"/>
        <v>5442</v>
      </c>
    </row>
    <row r="19" spans="1:12" ht="14.25" customHeight="1" x14ac:dyDescent="0.35">
      <c r="A19" t="s">
        <v>574</v>
      </c>
      <c r="B19" s="22" t="s">
        <v>395</v>
      </c>
      <c r="C19" s="3" t="s">
        <v>46</v>
      </c>
      <c r="D19" s="3">
        <v>9429</v>
      </c>
      <c r="E19" s="3">
        <v>966</v>
      </c>
      <c r="F19" s="3">
        <v>218723</v>
      </c>
      <c r="G19" s="3">
        <v>7.6914636320825887</v>
      </c>
      <c r="H19" s="3">
        <v>57639</v>
      </c>
      <c r="I19">
        <v>1682300</v>
      </c>
      <c r="J19" s="15">
        <f t="shared" si="0"/>
        <v>6.1129494113903915</v>
      </c>
      <c r="K19" s="15">
        <f t="shared" si="1"/>
        <v>29.186835302486163</v>
      </c>
      <c r="L19">
        <f t="shared" si="2"/>
        <v>8463</v>
      </c>
    </row>
    <row r="20" spans="1:12" ht="14.25" customHeight="1" x14ac:dyDescent="0.35">
      <c r="A20" t="s">
        <v>574</v>
      </c>
      <c r="B20" s="22" t="s">
        <v>395</v>
      </c>
      <c r="C20" s="3" t="s">
        <v>23</v>
      </c>
      <c r="D20" s="3">
        <v>3530</v>
      </c>
      <c r="E20" s="3">
        <v>328</v>
      </c>
      <c r="F20" s="3">
        <v>221925</v>
      </c>
      <c r="G20" s="3">
        <v>12.8372197814577</v>
      </c>
      <c r="H20" s="3">
        <v>11013</v>
      </c>
      <c r="I20">
        <v>2848900</v>
      </c>
      <c r="J20" s="15">
        <f t="shared" si="0"/>
        <v>3.1198300283286118</v>
      </c>
      <c r="K20" s="15">
        <f t="shared" si="1"/>
        <v>258.68519022972851</v>
      </c>
      <c r="L20">
        <f t="shared" si="2"/>
        <v>3202</v>
      </c>
    </row>
    <row r="21" spans="1:12" ht="14.25" customHeight="1" x14ac:dyDescent="0.35">
      <c r="A21" t="s">
        <v>574</v>
      </c>
      <c r="B21" s="22" t="s">
        <v>395</v>
      </c>
      <c r="C21" s="3" t="s">
        <v>23</v>
      </c>
      <c r="D21" s="3">
        <v>2960</v>
      </c>
      <c r="E21" s="3">
        <v>234</v>
      </c>
      <c r="F21" s="3">
        <v>224651</v>
      </c>
      <c r="G21" s="3">
        <v>17.41278694508371</v>
      </c>
      <c r="H21" s="3">
        <v>59378</v>
      </c>
      <c r="I21">
        <v>3911800.0000000005</v>
      </c>
      <c r="J21" s="15">
        <f t="shared" si="0"/>
        <v>20.060135135135134</v>
      </c>
      <c r="K21" s="15">
        <f t="shared" si="1"/>
        <v>65.879618714001822</v>
      </c>
      <c r="L21">
        <f t="shared" si="2"/>
        <v>2726</v>
      </c>
    </row>
    <row r="22" spans="1:12" ht="14.25" customHeight="1" x14ac:dyDescent="0.35">
      <c r="A22" t="s">
        <v>574</v>
      </c>
      <c r="B22" s="22" t="s">
        <v>510</v>
      </c>
      <c r="C22" s="3" t="s">
        <v>46</v>
      </c>
      <c r="D22" s="3">
        <v>8045</v>
      </c>
      <c r="E22" s="3">
        <v>894</v>
      </c>
      <c r="F22" s="3">
        <v>231802</v>
      </c>
      <c r="G22" s="3">
        <v>47.634187798207087</v>
      </c>
      <c r="H22" s="3">
        <v>33705</v>
      </c>
      <c r="I22">
        <v>11041700</v>
      </c>
      <c r="J22" s="15">
        <f t="shared" si="0"/>
        <v>4.1895587321317587</v>
      </c>
      <c r="K22" s="15">
        <f t="shared" si="1"/>
        <v>327.59827918706424</v>
      </c>
      <c r="L22">
        <f t="shared" si="2"/>
        <v>7151</v>
      </c>
    </row>
    <row r="23" spans="1:12" ht="14.25" customHeight="1" x14ac:dyDescent="0.35">
      <c r="A23" t="s">
        <v>574</v>
      </c>
      <c r="B23" s="22" t="s">
        <v>510</v>
      </c>
      <c r="C23" s="3" t="s">
        <v>19</v>
      </c>
      <c r="D23" s="3">
        <v>2048</v>
      </c>
      <c r="E23" s="3">
        <v>130</v>
      </c>
      <c r="F23" s="3">
        <v>233720</v>
      </c>
      <c r="G23" s="3">
        <v>39.284614068115687</v>
      </c>
      <c r="H23" s="3">
        <v>11828</v>
      </c>
      <c r="I23">
        <v>9181599.9999999981</v>
      </c>
      <c r="J23" s="15">
        <f t="shared" si="0"/>
        <v>5.775390625</v>
      </c>
      <c r="K23" s="15">
        <f t="shared" si="1"/>
        <v>776.25972269191732</v>
      </c>
      <c r="L23">
        <f t="shared" si="2"/>
        <v>1918</v>
      </c>
    </row>
    <row r="24" spans="1:12" ht="14.25" customHeight="1" x14ac:dyDescent="0.35">
      <c r="A24" t="s">
        <v>574</v>
      </c>
      <c r="B24" s="22" t="s">
        <v>510</v>
      </c>
      <c r="C24" s="3" t="s">
        <v>19</v>
      </c>
      <c r="D24" s="3">
        <v>6772</v>
      </c>
      <c r="E24" s="3">
        <v>536</v>
      </c>
      <c r="F24" s="3">
        <v>239956</v>
      </c>
      <c r="G24" s="3">
        <v>9.8205504342462788</v>
      </c>
      <c r="H24" s="3">
        <v>17909</v>
      </c>
      <c r="I24">
        <v>2356500</v>
      </c>
      <c r="J24" s="15">
        <f t="shared" si="0"/>
        <v>2.6445658594211459</v>
      </c>
      <c r="K24" s="15">
        <f t="shared" si="1"/>
        <v>131.58188620246804</v>
      </c>
      <c r="L24">
        <f t="shared" si="2"/>
        <v>6236</v>
      </c>
    </row>
    <row r="25" spans="1:12" ht="14.25" customHeight="1" x14ac:dyDescent="0.35">
      <c r="A25" t="s">
        <v>574</v>
      </c>
      <c r="B25" s="22" t="s">
        <v>510</v>
      </c>
      <c r="C25" s="3" t="s">
        <v>19</v>
      </c>
      <c r="D25" s="3">
        <v>3529</v>
      </c>
      <c r="E25" s="3">
        <v>305</v>
      </c>
      <c r="F25" s="3">
        <v>243180</v>
      </c>
      <c r="G25" s="3">
        <v>41.606628834608109</v>
      </c>
      <c r="H25" s="3">
        <v>48356</v>
      </c>
      <c r="I25">
        <v>10117900</v>
      </c>
      <c r="J25" s="15">
        <f t="shared" si="0"/>
        <v>13.702465287616889</v>
      </c>
      <c r="K25" s="15">
        <f t="shared" si="1"/>
        <v>209.23773678550748</v>
      </c>
      <c r="L25">
        <f t="shared" si="2"/>
        <v>3224</v>
      </c>
    </row>
    <row r="26" spans="1:12" ht="14.25" customHeight="1" x14ac:dyDescent="0.35">
      <c r="A26" t="s">
        <v>574</v>
      </c>
      <c r="B26" s="22" t="s">
        <v>266</v>
      </c>
      <c r="C26" s="3" t="s">
        <v>23</v>
      </c>
      <c r="D26" s="3">
        <v>3964</v>
      </c>
      <c r="E26" s="3">
        <v>378</v>
      </c>
      <c r="F26" s="3">
        <v>246766</v>
      </c>
      <c r="G26" s="3">
        <v>13.6355899921383</v>
      </c>
      <c r="H26" s="3">
        <v>23109</v>
      </c>
      <c r="I26">
        <v>3364799.9999999995</v>
      </c>
      <c r="J26" s="15">
        <f t="shared" si="0"/>
        <v>5.8297174571140262</v>
      </c>
      <c r="K26" s="15">
        <f t="shared" si="1"/>
        <v>145.6056082045956</v>
      </c>
      <c r="L26">
        <f t="shared" si="2"/>
        <v>3586</v>
      </c>
    </row>
    <row r="27" spans="1:12" ht="14.25" customHeight="1" x14ac:dyDescent="0.35">
      <c r="A27" t="s">
        <v>574</v>
      </c>
      <c r="B27" s="22" t="s">
        <v>266</v>
      </c>
      <c r="C27" s="3" t="s">
        <v>46</v>
      </c>
      <c r="D27" s="3">
        <v>8137</v>
      </c>
      <c r="E27" s="3">
        <v>1045</v>
      </c>
      <c r="F27" s="3">
        <v>253858</v>
      </c>
      <c r="G27" s="3">
        <v>20.47246886054408</v>
      </c>
      <c r="H27" s="3">
        <v>12023</v>
      </c>
      <c r="I27">
        <v>5197099.9999999991</v>
      </c>
      <c r="J27" s="15">
        <f t="shared" si="0"/>
        <v>1.4775715865798205</v>
      </c>
      <c r="K27" s="15">
        <f t="shared" si="1"/>
        <v>432.26316227231132</v>
      </c>
      <c r="L27">
        <f t="shared" si="2"/>
        <v>7092</v>
      </c>
    </row>
    <row r="28" spans="1:12" ht="14.25" customHeight="1" x14ac:dyDescent="0.35">
      <c r="A28" t="s">
        <v>574</v>
      </c>
      <c r="B28" s="22" t="s">
        <v>266</v>
      </c>
      <c r="C28" s="3" t="s">
        <v>13</v>
      </c>
      <c r="D28" s="3">
        <v>1963</v>
      </c>
      <c r="E28" s="3">
        <v>137</v>
      </c>
      <c r="F28" s="3">
        <v>255684</v>
      </c>
      <c r="G28" s="3">
        <v>11.2083665774941</v>
      </c>
      <c r="H28" s="3">
        <v>24537</v>
      </c>
      <c r="I28">
        <v>2865800.0000000014</v>
      </c>
      <c r="J28" s="15">
        <f t="shared" si="0"/>
        <v>12.499745287824759</v>
      </c>
      <c r="K28" s="15">
        <f t="shared" si="1"/>
        <v>116.79504421893472</v>
      </c>
      <c r="L28">
        <f t="shared" si="2"/>
        <v>1826</v>
      </c>
    </row>
    <row r="29" spans="1:12" ht="14.25" customHeight="1" x14ac:dyDescent="0.35">
      <c r="A29" t="s">
        <v>574</v>
      </c>
      <c r="B29" s="22" t="s">
        <v>266</v>
      </c>
      <c r="C29" s="3" t="s">
        <v>23</v>
      </c>
      <c r="D29" s="3">
        <v>1536</v>
      </c>
      <c r="E29" s="3">
        <v>155</v>
      </c>
      <c r="F29" s="3">
        <v>257065</v>
      </c>
      <c r="G29" s="3">
        <v>12.15762550327738</v>
      </c>
      <c r="H29" s="3">
        <v>36661</v>
      </c>
      <c r="I29">
        <v>3125299.9999999995</v>
      </c>
      <c r="J29" s="15">
        <f t="shared" si="0"/>
        <v>23.867838541666668</v>
      </c>
      <c r="K29" s="15">
        <f t="shared" si="1"/>
        <v>85.24862933362428</v>
      </c>
      <c r="L29">
        <f t="shared" si="2"/>
        <v>1381</v>
      </c>
    </row>
    <row r="30" spans="1:12" ht="14.25" customHeight="1" x14ac:dyDescent="0.35">
      <c r="A30" t="s">
        <v>574</v>
      </c>
      <c r="B30" s="22" t="s">
        <v>511</v>
      </c>
      <c r="C30" s="3" t="s">
        <v>19</v>
      </c>
      <c r="D30" s="3">
        <v>8340</v>
      </c>
      <c r="E30" s="3">
        <v>911</v>
      </c>
      <c r="F30" s="3">
        <v>264494</v>
      </c>
      <c r="G30" s="3">
        <v>37.302925586213682</v>
      </c>
      <c r="H30" s="3">
        <v>48659</v>
      </c>
      <c r="I30">
        <v>9866400.0000000019</v>
      </c>
      <c r="J30" s="15">
        <f t="shared" si="0"/>
        <v>5.834412470023981</v>
      </c>
      <c r="K30" s="15">
        <f t="shared" si="1"/>
        <v>202.76618919418817</v>
      </c>
      <c r="L30">
        <f t="shared" si="2"/>
        <v>7429</v>
      </c>
    </row>
    <row r="31" spans="1:12" ht="14.25" customHeight="1" x14ac:dyDescent="0.35">
      <c r="A31" t="s">
        <v>574</v>
      </c>
      <c r="B31" s="22" t="s">
        <v>511</v>
      </c>
      <c r="C31" s="3" t="s">
        <v>46</v>
      </c>
      <c r="D31" s="3">
        <v>8179</v>
      </c>
      <c r="E31" s="3">
        <v>446</v>
      </c>
      <c r="F31" s="3">
        <v>272227</v>
      </c>
      <c r="G31" s="3">
        <v>41.82171496581897</v>
      </c>
      <c r="H31" s="3">
        <v>43848</v>
      </c>
      <c r="I31">
        <v>11385000</v>
      </c>
      <c r="J31" s="15">
        <f t="shared" si="0"/>
        <v>5.3610465827118228</v>
      </c>
      <c r="K31" s="15">
        <f t="shared" si="1"/>
        <v>259.64696223316912</v>
      </c>
      <c r="L31">
        <f t="shared" si="2"/>
        <v>7733</v>
      </c>
    </row>
    <row r="32" spans="1:12" ht="14.25" customHeight="1" x14ac:dyDescent="0.35">
      <c r="A32" t="s">
        <v>574</v>
      </c>
      <c r="B32" s="22" t="s">
        <v>511</v>
      </c>
      <c r="C32" s="3" t="s">
        <v>19</v>
      </c>
      <c r="D32" s="3">
        <v>8967</v>
      </c>
      <c r="E32" s="3">
        <v>993</v>
      </c>
      <c r="F32" s="3">
        <v>280201</v>
      </c>
      <c r="G32" s="3">
        <v>52.792102811910027</v>
      </c>
      <c r="H32" s="3">
        <v>47804</v>
      </c>
      <c r="I32">
        <v>14792400.000000002</v>
      </c>
      <c r="J32" s="15">
        <f t="shared" si="0"/>
        <v>5.331102932976469</v>
      </c>
      <c r="K32" s="15">
        <f t="shared" si="1"/>
        <v>309.43854070789058</v>
      </c>
      <c r="L32">
        <f t="shared" si="2"/>
        <v>7974</v>
      </c>
    </row>
    <row r="33" spans="1:12" ht="14.25" customHeight="1" x14ac:dyDescent="0.35">
      <c r="A33" t="s">
        <v>574</v>
      </c>
      <c r="B33" s="22" t="s">
        <v>511</v>
      </c>
      <c r="C33" s="3" t="s">
        <v>13</v>
      </c>
      <c r="D33" s="3">
        <v>9734</v>
      </c>
      <c r="E33" s="3">
        <v>652</v>
      </c>
      <c r="F33" s="3">
        <v>289283</v>
      </c>
      <c r="G33" s="3">
        <v>49.647922622483861</v>
      </c>
      <c r="H33" s="3">
        <v>25379</v>
      </c>
      <c r="I33">
        <v>14362299.999999998</v>
      </c>
      <c r="J33" s="15">
        <f t="shared" si="0"/>
        <v>2.6072529278816519</v>
      </c>
      <c r="K33" s="15">
        <f t="shared" si="1"/>
        <v>565.91276252019384</v>
      </c>
      <c r="L33">
        <f t="shared" si="2"/>
        <v>9082</v>
      </c>
    </row>
    <row r="34" spans="1:12" ht="14.25" customHeight="1" x14ac:dyDescent="0.35">
      <c r="A34" t="s">
        <v>574</v>
      </c>
      <c r="B34" s="22" t="s">
        <v>221</v>
      </c>
      <c r="C34" s="3" t="s">
        <v>19</v>
      </c>
      <c r="D34" s="3">
        <v>1845</v>
      </c>
      <c r="E34" s="3">
        <v>104</v>
      </c>
      <c r="F34" s="3">
        <v>291024</v>
      </c>
      <c r="G34" s="3">
        <v>28.158158777282971</v>
      </c>
      <c r="H34" s="3">
        <v>37766</v>
      </c>
      <c r="I34">
        <v>8194699.9999999991</v>
      </c>
      <c r="J34" s="15">
        <f t="shared" si="0"/>
        <v>20.469376693766936</v>
      </c>
      <c r="K34" s="15">
        <f t="shared" si="1"/>
        <v>216.98617804374302</v>
      </c>
      <c r="L34">
        <f t="shared" si="2"/>
        <v>1741</v>
      </c>
    </row>
    <row r="35" spans="1:12" ht="14.25" customHeight="1" x14ac:dyDescent="0.35">
      <c r="A35" t="s">
        <v>574</v>
      </c>
      <c r="B35" s="22" t="s">
        <v>221</v>
      </c>
      <c r="C35" s="3" t="s">
        <v>19</v>
      </c>
      <c r="D35" s="3">
        <v>6777</v>
      </c>
      <c r="E35" s="3">
        <v>981</v>
      </c>
      <c r="F35" s="3">
        <v>296820</v>
      </c>
      <c r="G35" s="3">
        <v>23.920557913887201</v>
      </c>
      <c r="H35" s="3">
        <v>53590</v>
      </c>
      <c r="I35">
        <v>7100099.9999999991</v>
      </c>
      <c r="J35" s="15">
        <f t="shared" si="0"/>
        <v>7.9076287442821309</v>
      </c>
      <c r="K35" s="15">
        <f t="shared" si="1"/>
        <v>132.48927038626607</v>
      </c>
      <c r="L35">
        <f t="shared" si="2"/>
        <v>5796</v>
      </c>
    </row>
    <row r="36" spans="1:12" ht="14.25" customHeight="1" x14ac:dyDescent="0.35">
      <c r="A36" t="s">
        <v>574</v>
      </c>
      <c r="B36" s="22" t="s">
        <v>221</v>
      </c>
      <c r="C36" s="3" t="s">
        <v>13</v>
      </c>
      <c r="D36" s="3">
        <v>4036</v>
      </c>
      <c r="E36" s="3">
        <v>591</v>
      </c>
      <c r="F36" s="3">
        <v>300265</v>
      </c>
      <c r="G36" s="3">
        <v>44.219272975538267</v>
      </c>
      <c r="H36" s="3">
        <v>12563</v>
      </c>
      <c r="I36">
        <v>13277499.999999998</v>
      </c>
      <c r="J36" s="15">
        <f t="shared" si="0"/>
        <v>3.1127353815659067</v>
      </c>
      <c r="K36" s="15">
        <f t="shared" si="1"/>
        <v>1056.8733582742973</v>
      </c>
      <c r="L36">
        <f t="shared" si="2"/>
        <v>3445</v>
      </c>
    </row>
    <row r="37" spans="1:12" ht="14.25" customHeight="1" x14ac:dyDescent="0.35">
      <c r="A37" t="s">
        <v>574</v>
      </c>
      <c r="B37" s="22" t="s">
        <v>221</v>
      </c>
      <c r="C37" s="3" t="s">
        <v>46</v>
      </c>
      <c r="D37" s="3">
        <v>6947</v>
      </c>
      <c r="E37" s="3">
        <v>908</v>
      </c>
      <c r="F37" s="3">
        <v>306304</v>
      </c>
      <c r="G37" s="3">
        <v>14.117673944839121</v>
      </c>
      <c r="H37" s="3">
        <v>46060</v>
      </c>
      <c r="I37">
        <v>4324300.0000000019</v>
      </c>
      <c r="J37" s="15">
        <f t="shared" si="0"/>
        <v>6.6302000863682169</v>
      </c>
      <c r="K37" s="15">
        <f t="shared" si="1"/>
        <v>93.884064264003513</v>
      </c>
      <c r="L37">
        <f t="shared" si="2"/>
        <v>6039</v>
      </c>
    </row>
    <row r="38" spans="1:12" ht="14.25" customHeight="1" x14ac:dyDescent="0.35">
      <c r="A38" t="s">
        <v>575</v>
      </c>
      <c r="B38" s="22" t="s">
        <v>437</v>
      </c>
      <c r="C38" s="3" t="s">
        <v>23</v>
      </c>
      <c r="D38" s="3">
        <v>3494</v>
      </c>
      <c r="E38" s="3">
        <v>281</v>
      </c>
      <c r="F38" s="3">
        <v>309517</v>
      </c>
      <c r="G38" s="3">
        <v>27.765518533715429</v>
      </c>
      <c r="H38" s="3">
        <v>39197</v>
      </c>
      <c r="I38">
        <v>8593899.9999999981</v>
      </c>
      <c r="J38" s="15">
        <f t="shared" si="0"/>
        <v>11.218374356038924</v>
      </c>
      <c r="K38" s="15">
        <f t="shared" si="1"/>
        <v>219.24892211138604</v>
      </c>
      <c r="L38">
        <f t="shared" si="2"/>
        <v>3213</v>
      </c>
    </row>
    <row r="39" spans="1:12" ht="14.25" customHeight="1" x14ac:dyDescent="0.35">
      <c r="A39" t="s">
        <v>575</v>
      </c>
      <c r="B39" s="22" t="s">
        <v>437</v>
      </c>
      <c r="C39" s="3" t="s">
        <v>46</v>
      </c>
      <c r="D39" s="3">
        <v>3719</v>
      </c>
      <c r="E39" s="3">
        <v>222</v>
      </c>
      <c r="F39" s="3">
        <v>313014</v>
      </c>
      <c r="G39" s="3">
        <v>21.669318305251519</v>
      </c>
      <c r="H39" s="3">
        <v>13586</v>
      </c>
      <c r="I39">
        <v>6782799.9999999991</v>
      </c>
      <c r="J39" s="15">
        <f t="shared" si="0"/>
        <v>3.6531325625168054</v>
      </c>
      <c r="K39" s="15">
        <f t="shared" si="1"/>
        <v>499.24922714559096</v>
      </c>
      <c r="L39">
        <f t="shared" si="2"/>
        <v>3497</v>
      </c>
    </row>
    <row r="40" spans="1:12" ht="14.25" customHeight="1" x14ac:dyDescent="0.35">
      <c r="A40" t="s">
        <v>575</v>
      </c>
      <c r="B40" s="22" t="s">
        <v>437</v>
      </c>
      <c r="C40" s="3" t="s">
        <v>13</v>
      </c>
      <c r="D40" s="3">
        <v>2884</v>
      </c>
      <c r="E40" s="3">
        <v>341</v>
      </c>
      <c r="F40" s="3">
        <v>315557</v>
      </c>
      <c r="G40" s="3">
        <v>46.999749649033298</v>
      </c>
      <c r="H40" s="3">
        <v>26087</v>
      </c>
      <c r="I40">
        <v>14831100</v>
      </c>
      <c r="J40" s="15">
        <f t="shared" si="0"/>
        <v>9.0454230235783637</v>
      </c>
      <c r="K40" s="15">
        <f t="shared" si="1"/>
        <v>568.52455245907925</v>
      </c>
      <c r="L40">
        <f t="shared" si="2"/>
        <v>2543</v>
      </c>
    </row>
    <row r="41" spans="1:12" ht="14.25" customHeight="1" x14ac:dyDescent="0.35">
      <c r="A41" t="s">
        <v>575</v>
      </c>
      <c r="B41" s="22" t="s">
        <v>437</v>
      </c>
      <c r="C41" s="3" t="s">
        <v>19</v>
      </c>
      <c r="D41" s="3">
        <v>5349</v>
      </c>
      <c r="E41" s="3">
        <v>502</v>
      </c>
      <c r="F41" s="3">
        <v>320404</v>
      </c>
      <c r="G41" s="3">
        <v>5.2152906954969351</v>
      </c>
      <c r="H41" s="3">
        <v>58868</v>
      </c>
      <c r="I41">
        <v>1671000</v>
      </c>
      <c r="J41" s="15">
        <f t="shared" si="0"/>
        <v>11.005421574126006</v>
      </c>
      <c r="K41" s="15">
        <f t="shared" si="1"/>
        <v>28.385540531358291</v>
      </c>
      <c r="L41">
        <f t="shared" si="2"/>
        <v>4847</v>
      </c>
    </row>
    <row r="42" spans="1:12" ht="14.25" customHeight="1" x14ac:dyDescent="0.35">
      <c r="A42" t="s">
        <v>575</v>
      </c>
      <c r="B42" s="22" t="s">
        <v>29</v>
      </c>
      <c r="C42" s="3" t="s">
        <v>46</v>
      </c>
      <c r="D42" s="3">
        <v>6179</v>
      </c>
      <c r="E42" s="3">
        <v>384</v>
      </c>
      <c r="F42" s="3">
        <v>326199</v>
      </c>
      <c r="G42" s="3">
        <v>14.71218489327067</v>
      </c>
      <c r="H42" s="3">
        <v>33225</v>
      </c>
      <c r="I42">
        <v>4799099.9999999991</v>
      </c>
      <c r="J42" s="15">
        <f t="shared" si="0"/>
        <v>5.3770836704968445</v>
      </c>
      <c r="K42" s="15">
        <f t="shared" si="1"/>
        <v>144.44243792325054</v>
      </c>
      <c r="L42">
        <f t="shared" si="2"/>
        <v>5795</v>
      </c>
    </row>
    <row r="43" spans="1:12" ht="14.25" customHeight="1" x14ac:dyDescent="0.35">
      <c r="A43" t="s">
        <v>575</v>
      </c>
      <c r="B43" s="22" t="s">
        <v>29</v>
      </c>
      <c r="C43" s="3" t="s">
        <v>23</v>
      </c>
      <c r="D43" s="3">
        <v>7610</v>
      </c>
      <c r="E43" s="3">
        <v>757</v>
      </c>
      <c r="F43" s="3">
        <v>333052</v>
      </c>
      <c r="G43" s="3">
        <v>44.450416151231643</v>
      </c>
      <c r="H43" s="3">
        <v>39750</v>
      </c>
      <c r="I43">
        <v>14804300.000000002</v>
      </c>
      <c r="J43" s="15">
        <f t="shared" si="0"/>
        <v>5.2233902759526938</v>
      </c>
      <c r="K43" s="15">
        <f t="shared" si="1"/>
        <v>372.4352201257862</v>
      </c>
      <c r="L43">
        <f t="shared" si="2"/>
        <v>6853</v>
      </c>
    </row>
    <row r="44" spans="1:12" ht="14.25" customHeight="1" x14ac:dyDescent="0.35">
      <c r="A44" t="s">
        <v>575</v>
      </c>
      <c r="B44" s="22" t="s">
        <v>29</v>
      </c>
      <c r="C44" s="3" t="s">
        <v>13</v>
      </c>
      <c r="D44" s="3">
        <v>7430</v>
      </c>
      <c r="E44" s="3">
        <v>397</v>
      </c>
      <c r="F44" s="3">
        <v>340085</v>
      </c>
      <c r="G44" s="3">
        <v>28.065042562888689</v>
      </c>
      <c r="H44" s="3">
        <v>16643</v>
      </c>
      <c r="I44">
        <v>9544500</v>
      </c>
      <c r="J44" s="15">
        <f t="shared" si="0"/>
        <v>2.2399730820995964</v>
      </c>
      <c r="K44" s="15">
        <f t="shared" si="1"/>
        <v>573.48434777383886</v>
      </c>
      <c r="L44">
        <f t="shared" si="2"/>
        <v>7033</v>
      </c>
    </row>
    <row r="45" spans="1:12" ht="14.25" customHeight="1" x14ac:dyDescent="0.35">
      <c r="A45" t="s">
        <v>575</v>
      </c>
      <c r="B45" s="22" t="s">
        <v>29</v>
      </c>
      <c r="C45" s="3" t="s">
        <v>46</v>
      </c>
      <c r="D45" s="3">
        <v>8154</v>
      </c>
      <c r="E45" s="3">
        <v>1149</v>
      </c>
      <c r="F45" s="3">
        <v>347090</v>
      </c>
      <c r="G45" s="3">
        <v>26.003918292085629</v>
      </c>
      <c r="H45" s="3">
        <v>37523</v>
      </c>
      <c r="I45">
        <v>9025700.0000000019</v>
      </c>
      <c r="J45" s="15">
        <f t="shared" si="0"/>
        <v>4.6017905322541086</v>
      </c>
      <c r="K45" s="15">
        <f t="shared" si="1"/>
        <v>240.53780348053198</v>
      </c>
      <c r="L45">
        <f t="shared" si="2"/>
        <v>7005</v>
      </c>
    </row>
    <row r="46" spans="1:12" ht="14.25" customHeight="1" x14ac:dyDescent="0.35">
      <c r="A46" t="s">
        <v>575</v>
      </c>
      <c r="B46" s="22" t="s">
        <v>64</v>
      </c>
      <c r="C46" s="3" t="s">
        <v>23</v>
      </c>
      <c r="D46" s="3">
        <v>7488</v>
      </c>
      <c r="E46" s="3">
        <v>568</v>
      </c>
      <c r="F46" s="3">
        <v>354010</v>
      </c>
      <c r="G46" s="3">
        <v>13.47730290104799</v>
      </c>
      <c r="H46" s="3">
        <v>46727</v>
      </c>
      <c r="I46">
        <v>4771099.9999999991</v>
      </c>
      <c r="J46" s="15">
        <f t="shared" si="0"/>
        <v>6.2402510683760681</v>
      </c>
      <c r="K46" s="15">
        <f t="shared" si="1"/>
        <v>102.10584886682216</v>
      </c>
      <c r="L46">
        <f t="shared" si="2"/>
        <v>6920</v>
      </c>
    </row>
    <row r="47" spans="1:12" ht="14.25" customHeight="1" x14ac:dyDescent="0.35">
      <c r="A47" t="s">
        <v>575</v>
      </c>
      <c r="B47" s="22" t="s">
        <v>64</v>
      </c>
      <c r="C47" s="3" t="s">
        <v>13</v>
      </c>
      <c r="D47" s="3">
        <v>5737</v>
      </c>
      <c r="E47" s="3">
        <v>666</v>
      </c>
      <c r="F47" s="3">
        <v>359081</v>
      </c>
      <c r="G47" s="3">
        <v>4.6034181702735593</v>
      </c>
      <c r="H47" s="3">
        <v>21005</v>
      </c>
      <c r="I47">
        <v>1653000</v>
      </c>
      <c r="J47" s="15">
        <f t="shared" si="0"/>
        <v>3.6613212480390449</v>
      </c>
      <c r="K47" s="15">
        <f t="shared" si="1"/>
        <v>78.695548678885984</v>
      </c>
      <c r="L47">
        <f t="shared" si="2"/>
        <v>5071</v>
      </c>
    </row>
    <row r="48" spans="1:12" ht="14.25" customHeight="1" x14ac:dyDescent="0.35">
      <c r="A48" t="s">
        <v>575</v>
      </c>
      <c r="B48" s="22" t="s">
        <v>64</v>
      </c>
      <c r="C48" s="3" t="s">
        <v>23</v>
      </c>
      <c r="D48" s="3">
        <v>7525</v>
      </c>
      <c r="E48" s="3">
        <v>610</v>
      </c>
      <c r="F48" s="3">
        <v>365996</v>
      </c>
      <c r="G48" s="3">
        <v>5.7694619613329108</v>
      </c>
      <c r="H48" s="3">
        <v>53543</v>
      </c>
      <c r="I48">
        <v>2111600</v>
      </c>
      <c r="J48" s="15">
        <f t="shared" si="0"/>
        <v>7.1153488372093019</v>
      </c>
      <c r="K48" s="15">
        <f t="shared" si="1"/>
        <v>39.437461479558486</v>
      </c>
      <c r="L48">
        <f t="shared" si="2"/>
        <v>6915</v>
      </c>
    </row>
    <row r="49" spans="1:12" ht="14.25" customHeight="1" x14ac:dyDescent="0.35">
      <c r="A49" t="s">
        <v>575</v>
      </c>
      <c r="B49" s="22" t="s">
        <v>64</v>
      </c>
      <c r="C49" s="3" t="s">
        <v>13</v>
      </c>
      <c r="D49" s="3">
        <v>4850</v>
      </c>
      <c r="E49" s="3">
        <v>494</v>
      </c>
      <c r="F49" s="3">
        <v>370352</v>
      </c>
      <c r="G49" s="3">
        <v>20.46539508359615</v>
      </c>
      <c r="H49" s="3">
        <v>10161</v>
      </c>
      <c r="I49">
        <v>7579400.0000000009</v>
      </c>
      <c r="J49" s="15">
        <f t="shared" si="0"/>
        <v>2.0950515463917525</v>
      </c>
      <c r="K49" s="15">
        <f t="shared" si="1"/>
        <v>745.93051864973927</v>
      </c>
      <c r="L49">
        <f t="shared" si="2"/>
        <v>4356</v>
      </c>
    </row>
    <row r="50" spans="1:12" ht="14.25" customHeight="1" x14ac:dyDescent="0.35">
      <c r="A50" t="s">
        <v>575</v>
      </c>
      <c r="B50" s="22" t="s">
        <v>59</v>
      </c>
      <c r="C50" s="3" t="s">
        <v>19</v>
      </c>
      <c r="D50" s="3">
        <v>1689</v>
      </c>
      <c r="E50" s="3">
        <v>176</v>
      </c>
      <c r="F50" s="3">
        <v>371865</v>
      </c>
      <c r="G50" s="3">
        <v>38.012181840183942</v>
      </c>
      <c r="H50" s="3">
        <v>26029</v>
      </c>
      <c r="I50">
        <v>14135400.000000002</v>
      </c>
      <c r="J50" s="15">
        <f t="shared" si="0"/>
        <v>15.410894020130254</v>
      </c>
      <c r="K50" s="15">
        <f t="shared" si="1"/>
        <v>543.06350608936191</v>
      </c>
      <c r="L50">
        <f t="shared" si="2"/>
        <v>1513</v>
      </c>
    </row>
    <row r="51" spans="1:12" ht="14.25" customHeight="1" x14ac:dyDescent="0.35">
      <c r="A51" t="s">
        <v>575</v>
      </c>
      <c r="B51" s="22" t="s">
        <v>59</v>
      </c>
      <c r="C51" s="3" t="s">
        <v>46</v>
      </c>
      <c r="D51" s="3">
        <v>6175</v>
      </c>
      <c r="E51" s="3">
        <v>422</v>
      </c>
      <c r="F51" s="3">
        <v>377618</v>
      </c>
      <c r="G51" s="3">
        <v>37.86101298137271</v>
      </c>
      <c r="H51" s="3">
        <v>59745</v>
      </c>
      <c r="I51">
        <v>14297000</v>
      </c>
      <c r="J51" s="15">
        <f t="shared" si="0"/>
        <v>9.6753036437246962</v>
      </c>
      <c r="K51" s="15">
        <f t="shared" si="1"/>
        <v>239.30035986275001</v>
      </c>
      <c r="L51">
        <f t="shared" si="2"/>
        <v>5753</v>
      </c>
    </row>
    <row r="52" spans="1:12" ht="14.25" customHeight="1" x14ac:dyDescent="0.35">
      <c r="A52" t="s">
        <v>575</v>
      </c>
      <c r="B52" s="22" t="s">
        <v>59</v>
      </c>
      <c r="C52" s="3" t="s">
        <v>23</v>
      </c>
      <c r="D52" s="3">
        <v>9648</v>
      </c>
      <c r="E52" s="3">
        <v>1417</v>
      </c>
      <c r="F52" s="3">
        <v>385849</v>
      </c>
      <c r="G52" s="3">
        <v>3.6633501706626168</v>
      </c>
      <c r="H52" s="3">
        <v>24226</v>
      </c>
      <c r="I52">
        <v>1413500</v>
      </c>
      <c r="J52" s="15">
        <f t="shared" si="0"/>
        <v>2.5109867330016584</v>
      </c>
      <c r="K52" s="15">
        <f t="shared" si="1"/>
        <v>58.346404689176914</v>
      </c>
      <c r="L52">
        <f t="shared" si="2"/>
        <v>8231</v>
      </c>
    </row>
    <row r="53" spans="1:12" ht="14.25" customHeight="1" x14ac:dyDescent="0.35">
      <c r="A53" t="s">
        <v>575</v>
      </c>
      <c r="B53" s="22" t="s">
        <v>59</v>
      </c>
      <c r="C53" s="3" t="s">
        <v>13</v>
      </c>
      <c r="D53" s="3">
        <v>6078</v>
      </c>
      <c r="E53" s="3">
        <v>775</v>
      </c>
      <c r="F53" s="3">
        <v>391152</v>
      </c>
      <c r="G53" s="3">
        <v>37.760512537325639</v>
      </c>
      <c r="H53" s="3">
        <v>38731</v>
      </c>
      <c r="I53">
        <v>14770099.999999998</v>
      </c>
      <c r="J53" s="15">
        <f t="shared" si="0"/>
        <v>6.3723264231655152</v>
      </c>
      <c r="K53" s="15">
        <f t="shared" si="1"/>
        <v>381.35085590353975</v>
      </c>
      <c r="L53">
        <f t="shared" si="2"/>
        <v>5303</v>
      </c>
    </row>
    <row r="54" spans="1:12" ht="14.25" customHeight="1" x14ac:dyDescent="0.35">
      <c r="A54" t="s">
        <v>576</v>
      </c>
      <c r="B54" s="22" t="s">
        <v>156</v>
      </c>
      <c r="C54" s="3" t="s">
        <v>23</v>
      </c>
      <c r="D54" s="3">
        <v>6448</v>
      </c>
      <c r="E54" s="3">
        <v>928</v>
      </c>
      <c r="F54" s="3">
        <v>396672</v>
      </c>
      <c r="G54" s="3">
        <v>30.118586640851881</v>
      </c>
      <c r="H54" s="3">
        <v>53922</v>
      </c>
      <c r="I54">
        <v>11947199.999999996</v>
      </c>
      <c r="J54" s="15">
        <f t="shared" si="0"/>
        <v>8.3625930521091814</v>
      </c>
      <c r="K54" s="15">
        <f t="shared" si="1"/>
        <v>221.56448202959825</v>
      </c>
      <c r="L54">
        <f t="shared" si="2"/>
        <v>5520</v>
      </c>
    </row>
    <row r="55" spans="1:12" ht="14.25" customHeight="1" x14ac:dyDescent="0.35">
      <c r="A55" t="s">
        <v>576</v>
      </c>
      <c r="B55" s="22" t="s">
        <v>156</v>
      </c>
      <c r="C55" s="3" t="s">
        <v>23</v>
      </c>
      <c r="D55" s="3">
        <v>2179</v>
      </c>
      <c r="E55" s="3">
        <v>303</v>
      </c>
      <c r="F55" s="3">
        <v>398548</v>
      </c>
      <c r="G55" s="3">
        <v>33.909842729106657</v>
      </c>
      <c r="H55" s="3">
        <v>54848</v>
      </c>
      <c r="I55">
        <v>13514700</v>
      </c>
      <c r="J55" s="15">
        <f t="shared" si="0"/>
        <v>25.171179440110141</v>
      </c>
      <c r="K55" s="15">
        <f t="shared" si="1"/>
        <v>246.40278588098016</v>
      </c>
      <c r="L55">
        <f t="shared" si="2"/>
        <v>1876</v>
      </c>
    </row>
    <row r="56" spans="1:12" ht="14.25" customHeight="1" x14ac:dyDescent="0.35">
      <c r="A56" t="s">
        <v>576</v>
      </c>
      <c r="B56" s="22" t="s">
        <v>156</v>
      </c>
      <c r="C56" s="3" t="s">
        <v>46</v>
      </c>
      <c r="D56" s="3">
        <v>7406</v>
      </c>
      <c r="E56" s="3">
        <v>813</v>
      </c>
      <c r="F56" s="3">
        <v>405141</v>
      </c>
      <c r="G56" s="3">
        <v>24.457411123534769</v>
      </c>
      <c r="H56" s="3">
        <v>13390</v>
      </c>
      <c r="I56">
        <v>9908700</v>
      </c>
      <c r="J56" s="15">
        <f t="shared" si="0"/>
        <v>1.8079935187685661</v>
      </c>
      <c r="K56" s="15">
        <f t="shared" si="1"/>
        <v>740.0074682598954</v>
      </c>
      <c r="L56">
        <f t="shared" si="2"/>
        <v>6593</v>
      </c>
    </row>
    <row r="57" spans="1:12" ht="14.25" customHeight="1" x14ac:dyDescent="0.35">
      <c r="A57" t="s">
        <v>576</v>
      </c>
      <c r="B57" s="22" t="s">
        <v>156</v>
      </c>
      <c r="C57" s="3" t="s">
        <v>19</v>
      </c>
      <c r="D57" s="3">
        <v>9591</v>
      </c>
      <c r="E57" s="3">
        <v>1363</v>
      </c>
      <c r="F57" s="3">
        <v>413369</v>
      </c>
      <c r="G57" s="3">
        <v>10.494255737609739</v>
      </c>
      <c r="H57" s="3">
        <v>15997</v>
      </c>
      <c r="I57">
        <v>4338000</v>
      </c>
      <c r="J57" s="15">
        <f t="shared" si="0"/>
        <v>1.6679178396413303</v>
      </c>
      <c r="K57" s="15">
        <f t="shared" si="1"/>
        <v>271.17584547102581</v>
      </c>
      <c r="L57">
        <f t="shared" si="2"/>
        <v>8228</v>
      </c>
    </row>
    <row r="58" spans="1:12" ht="14.25" customHeight="1" x14ac:dyDescent="0.35">
      <c r="A58" t="s">
        <v>576</v>
      </c>
      <c r="B58" s="22" t="s">
        <v>68</v>
      </c>
      <c r="C58" s="3" t="s">
        <v>23</v>
      </c>
      <c r="D58" s="3">
        <v>7907</v>
      </c>
      <c r="E58" s="3">
        <v>465</v>
      </c>
      <c r="F58" s="3">
        <v>420811</v>
      </c>
      <c r="G58" s="3">
        <v>33.257448118038738</v>
      </c>
      <c r="H58" s="3">
        <v>22693</v>
      </c>
      <c r="I58">
        <v>13995100</v>
      </c>
      <c r="J58" s="15">
        <f t="shared" si="0"/>
        <v>2.8699886176805363</v>
      </c>
      <c r="K58" s="15">
        <f t="shared" si="1"/>
        <v>616.71440532322742</v>
      </c>
      <c r="L58">
        <f t="shared" si="2"/>
        <v>7442</v>
      </c>
    </row>
    <row r="59" spans="1:12" ht="14.25" customHeight="1" x14ac:dyDescent="0.35">
      <c r="A59" t="s">
        <v>576</v>
      </c>
      <c r="B59" s="22" t="s">
        <v>68</v>
      </c>
      <c r="C59" s="3" t="s">
        <v>13</v>
      </c>
      <c r="D59" s="3">
        <v>9800</v>
      </c>
      <c r="E59" s="3">
        <v>682</v>
      </c>
      <c r="F59" s="3">
        <v>429929</v>
      </c>
      <c r="G59" s="3">
        <v>6.2966210699906267</v>
      </c>
      <c r="H59" s="3">
        <v>59815</v>
      </c>
      <c r="I59">
        <v>2707100</v>
      </c>
      <c r="J59" s="15">
        <f t="shared" si="0"/>
        <v>6.1035714285714286</v>
      </c>
      <c r="K59" s="15">
        <f t="shared" si="1"/>
        <v>45.25787845858062</v>
      </c>
      <c r="L59">
        <f t="shared" si="2"/>
        <v>9118</v>
      </c>
    </row>
    <row r="60" spans="1:12" ht="14.25" customHeight="1" x14ac:dyDescent="0.35">
      <c r="A60" t="s">
        <v>576</v>
      </c>
      <c r="B60" s="22" t="s">
        <v>68</v>
      </c>
      <c r="C60" s="3" t="s">
        <v>13</v>
      </c>
      <c r="D60" s="3">
        <v>2638</v>
      </c>
      <c r="E60" s="3">
        <v>143</v>
      </c>
      <c r="F60" s="3">
        <v>432424</v>
      </c>
      <c r="G60" s="3">
        <v>6.9547481175882924</v>
      </c>
      <c r="H60" s="3">
        <v>52092</v>
      </c>
      <c r="I60">
        <v>3007399.9999999995</v>
      </c>
      <c r="J60" s="15">
        <f t="shared" si="0"/>
        <v>19.746777862016678</v>
      </c>
      <c r="K60" s="15">
        <f t="shared" si="1"/>
        <v>57.732473316440135</v>
      </c>
      <c r="L60">
        <f t="shared" si="2"/>
        <v>2495</v>
      </c>
    </row>
    <row r="61" spans="1:12" ht="14.25" customHeight="1" x14ac:dyDescent="0.35">
      <c r="A61" t="s">
        <v>576</v>
      </c>
      <c r="B61" s="22" t="s">
        <v>68</v>
      </c>
      <c r="C61" s="3" t="s">
        <v>19</v>
      </c>
      <c r="D61" s="3">
        <v>6671</v>
      </c>
      <c r="E61" s="3">
        <v>550</v>
      </c>
      <c r="F61" s="3">
        <v>438545</v>
      </c>
      <c r="G61" s="3">
        <v>17.750287883797562</v>
      </c>
      <c r="H61" s="3">
        <v>10541</v>
      </c>
      <c r="I61">
        <v>7784300.0000000019</v>
      </c>
      <c r="J61" s="15">
        <f t="shared" si="0"/>
        <v>1.5801229201019338</v>
      </c>
      <c r="K61" s="15">
        <f t="shared" si="1"/>
        <v>738.47832273977815</v>
      </c>
      <c r="L61">
        <f t="shared" si="2"/>
        <v>6121</v>
      </c>
    </row>
    <row r="62" spans="1:12" ht="14.25" customHeight="1" x14ac:dyDescent="0.35">
      <c r="A62" t="s">
        <v>576</v>
      </c>
      <c r="B62" s="22" t="s">
        <v>512</v>
      </c>
      <c r="C62" s="3" t="s">
        <v>13</v>
      </c>
      <c r="D62" s="3">
        <v>7928</v>
      </c>
      <c r="E62" s="3">
        <v>704</v>
      </c>
      <c r="F62" s="3">
        <v>445769</v>
      </c>
      <c r="G62" s="3">
        <v>11.194362999670229</v>
      </c>
      <c r="H62" s="3">
        <v>31817</v>
      </c>
      <c r="I62">
        <v>4990099.9999999981</v>
      </c>
      <c r="J62" s="15">
        <f t="shared" si="0"/>
        <v>4.0132441977800202</v>
      </c>
      <c r="K62" s="15">
        <f t="shared" si="1"/>
        <v>156.83753968004521</v>
      </c>
      <c r="L62">
        <f t="shared" si="2"/>
        <v>7224</v>
      </c>
    </row>
    <row r="63" spans="1:12" ht="14.25" customHeight="1" x14ac:dyDescent="0.35">
      <c r="A63" t="s">
        <v>576</v>
      </c>
      <c r="B63" s="22" t="s">
        <v>512</v>
      </c>
      <c r="C63" s="3" t="s">
        <v>19</v>
      </c>
      <c r="D63" s="3">
        <v>2382</v>
      </c>
      <c r="E63" s="3">
        <v>183</v>
      </c>
      <c r="F63" s="3">
        <v>447968</v>
      </c>
      <c r="G63" s="3">
        <v>4.7335970426459033</v>
      </c>
      <c r="H63" s="3">
        <v>47861</v>
      </c>
      <c r="I63">
        <v>2120500</v>
      </c>
      <c r="J63" s="15">
        <f t="shared" si="0"/>
        <v>20.092779177162047</v>
      </c>
      <c r="K63" s="15">
        <f t="shared" si="1"/>
        <v>44.305384342157495</v>
      </c>
      <c r="L63">
        <f t="shared" si="2"/>
        <v>2199</v>
      </c>
    </row>
    <row r="64" spans="1:12" ht="14.25" customHeight="1" x14ac:dyDescent="0.35">
      <c r="A64" t="s">
        <v>576</v>
      </c>
      <c r="B64" s="22" t="s">
        <v>512</v>
      </c>
      <c r="C64" s="3" t="s">
        <v>13</v>
      </c>
      <c r="D64" s="3">
        <v>2403</v>
      </c>
      <c r="E64" s="3">
        <v>319</v>
      </c>
      <c r="F64" s="3">
        <v>450052</v>
      </c>
      <c r="G64" s="3">
        <v>29.92120910472568</v>
      </c>
      <c r="H64" s="3">
        <v>23428</v>
      </c>
      <c r="I64">
        <v>13466100.000000002</v>
      </c>
      <c r="J64" s="15">
        <f t="shared" si="0"/>
        <v>9.7494798168955477</v>
      </c>
      <c r="K64" s="15">
        <f t="shared" si="1"/>
        <v>574.78658016049178</v>
      </c>
      <c r="L64">
        <f t="shared" si="2"/>
        <v>2084</v>
      </c>
    </row>
    <row r="65" spans="1:12" ht="14.25" customHeight="1" x14ac:dyDescent="0.35">
      <c r="A65" t="s">
        <v>576</v>
      </c>
      <c r="B65" s="22" t="s">
        <v>512</v>
      </c>
      <c r="C65" s="3" t="s">
        <v>46</v>
      </c>
      <c r="D65" s="3">
        <v>4292</v>
      </c>
      <c r="E65" s="3">
        <v>367</v>
      </c>
      <c r="F65" s="3">
        <v>453977</v>
      </c>
      <c r="G65" s="3">
        <v>3.5037017293827661</v>
      </c>
      <c r="H65" s="3">
        <v>53934</v>
      </c>
      <c r="I65">
        <v>1590600</v>
      </c>
      <c r="J65" s="15">
        <f t="shared" si="0"/>
        <v>12.566169617893756</v>
      </c>
      <c r="K65" s="15">
        <f t="shared" si="1"/>
        <v>29.491600845477805</v>
      </c>
      <c r="L65">
        <f t="shared" si="2"/>
        <v>3925</v>
      </c>
    </row>
    <row r="66" spans="1:12" ht="14.25" customHeight="1" x14ac:dyDescent="0.35">
      <c r="A66" t="s">
        <v>576</v>
      </c>
      <c r="B66" s="22" t="s">
        <v>513</v>
      </c>
      <c r="C66" s="3" t="s">
        <v>23</v>
      </c>
      <c r="D66" s="3">
        <v>1419</v>
      </c>
      <c r="E66" s="3">
        <v>110</v>
      </c>
      <c r="F66" s="3">
        <v>455286</v>
      </c>
      <c r="G66" s="3">
        <v>31.554451487636339</v>
      </c>
      <c r="H66" s="3">
        <v>58831</v>
      </c>
      <c r="I66">
        <v>14366299.999999998</v>
      </c>
      <c r="J66" s="15">
        <f t="shared" si="0"/>
        <v>41.459478505990134</v>
      </c>
      <c r="K66" s="15">
        <f t="shared" si="1"/>
        <v>244.19608709693867</v>
      </c>
      <c r="L66">
        <f t="shared" si="2"/>
        <v>1309</v>
      </c>
    </row>
    <row r="67" spans="1:12" ht="14.25" customHeight="1" x14ac:dyDescent="0.35">
      <c r="A67" t="s">
        <v>576</v>
      </c>
      <c r="B67" s="22" t="s">
        <v>513</v>
      </c>
      <c r="C67" s="3" t="s">
        <v>46</v>
      </c>
      <c r="D67" s="3">
        <v>5517</v>
      </c>
      <c r="E67" s="3">
        <v>575</v>
      </c>
      <c r="F67" s="3">
        <v>460228</v>
      </c>
      <c r="G67" s="3">
        <v>29.45844233727631</v>
      </c>
      <c r="H67" s="3">
        <v>20258</v>
      </c>
      <c r="I67">
        <v>13557600.000000002</v>
      </c>
      <c r="J67" s="15">
        <f t="shared" ref="J67:J130" si="3">H67/D67</f>
        <v>3.6719231466376656</v>
      </c>
      <c r="K67" s="15">
        <f t="shared" ref="K67:K130" si="4">I67/H67</f>
        <v>669.24671734623371</v>
      </c>
      <c r="L67">
        <f t="shared" ref="L67:L130" si="5">D67-E67</f>
        <v>4942</v>
      </c>
    </row>
    <row r="68" spans="1:12" ht="14.25" customHeight="1" x14ac:dyDescent="0.35">
      <c r="A68" t="s">
        <v>576</v>
      </c>
      <c r="B68" s="22" t="s">
        <v>513</v>
      </c>
      <c r="C68" s="3" t="s">
        <v>23</v>
      </c>
      <c r="D68" s="3">
        <v>4302</v>
      </c>
      <c r="E68" s="3">
        <v>275</v>
      </c>
      <c r="F68" s="3">
        <v>464255</v>
      </c>
      <c r="G68" s="3">
        <v>15.72131694865968</v>
      </c>
      <c r="H68" s="3">
        <v>26044</v>
      </c>
      <c r="I68">
        <v>7298700</v>
      </c>
      <c r="J68" s="15">
        <f t="shared" si="3"/>
        <v>6.0539284053928402</v>
      </c>
      <c r="K68" s="15">
        <f t="shared" si="4"/>
        <v>280.24497005068343</v>
      </c>
      <c r="L68">
        <f t="shared" si="5"/>
        <v>4027</v>
      </c>
    </row>
    <row r="69" spans="1:12" ht="14.25" customHeight="1" x14ac:dyDescent="0.35">
      <c r="A69" t="s">
        <v>576</v>
      </c>
      <c r="B69" s="22" t="s">
        <v>513</v>
      </c>
      <c r="C69" s="3" t="s">
        <v>23</v>
      </c>
      <c r="D69" s="3">
        <v>8857</v>
      </c>
      <c r="E69" s="3">
        <v>1153</v>
      </c>
      <c r="F69" s="3">
        <v>471959</v>
      </c>
      <c r="G69" s="3">
        <v>19.214592793018038</v>
      </c>
      <c r="H69" s="3">
        <v>39411</v>
      </c>
      <c r="I69">
        <v>9068500</v>
      </c>
      <c r="J69" s="15">
        <f t="shared" si="3"/>
        <v>4.4497008016258324</v>
      </c>
      <c r="K69" s="15">
        <f t="shared" si="4"/>
        <v>230.10073329781025</v>
      </c>
      <c r="L69">
        <f t="shared" si="5"/>
        <v>7704</v>
      </c>
    </row>
    <row r="70" spans="1:12" ht="14.25" customHeight="1" x14ac:dyDescent="0.35">
      <c r="A70" t="s">
        <v>576</v>
      </c>
      <c r="B70" s="22" t="s">
        <v>514</v>
      </c>
      <c r="C70" s="3" t="s">
        <v>23</v>
      </c>
      <c r="D70" s="3">
        <v>8870</v>
      </c>
      <c r="E70" s="3">
        <v>509</v>
      </c>
      <c r="F70" s="3">
        <v>480320</v>
      </c>
      <c r="G70" s="3">
        <v>25.077864756828781</v>
      </c>
      <c r="H70" s="3">
        <v>15469</v>
      </c>
      <c r="I70">
        <v>12045400</v>
      </c>
      <c r="J70" s="15">
        <f t="shared" si="3"/>
        <v>1.743968432919955</v>
      </c>
      <c r="K70" s="15">
        <f t="shared" si="4"/>
        <v>778.67994052621373</v>
      </c>
      <c r="L70">
        <f t="shared" si="5"/>
        <v>8361</v>
      </c>
    </row>
    <row r="71" spans="1:12" ht="14.25" customHeight="1" x14ac:dyDescent="0.35">
      <c r="A71" t="s">
        <v>576</v>
      </c>
      <c r="B71" s="22" t="s">
        <v>514</v>
      </c>
      <c r="C71" s="3" t="s">
        <v>46</v>
      </c>
      <c r="D71" s="3">
        <v>6693</v>
      </c>
      <c r="E71" s="3">
        <v>995</v>
      </c>
      <c r="F71" s="3">
        <v>486018</v>
      </c>
      <c r="G71" s="3">
        <v>23.761877132122681</v>
      </c>
      <c r="H71" s="3">
        <v>38854</v>
      </c>
      <c r="I71">
        <v>11548700.000000002</v>
      </c>
      <c r="J71" s="15">
        <f t="shared" si="3"/>
        <v>5.805169580158374</v>
      </c>
      <c r="K71" s="15">
        <f t="shared" si="4"/>
        <v>297.23323209965514</v>
      </c>
      <c r="L71">
        <f t="shared" si="5"/>
        <v>5698</v>
      </c>
    </row>
    <row r="72" spans="1:12" ht="14.25" customHeight="1" x14ac:dyDescent="0.35">
      <c r="A72" t="s">
        <v>576</v>
      </c>
      <c r="B72" s="22" t="s">
        <v>514</v>
      </c>
      <c r="C72" s="3" t="s">
        <v>23</v>
      </c>
      <c r="D72" s="3">
        <v>1767</v>
      </c>
      <c r="E72" s="3">
        <v>224</v>
      </c>
      <c r="F72" s="3">
        <v>487561</v>
      </c>
      <c r="G72" s="3">
        <v>13.208603641390511</v>
      </c>
      <c r="H72" s="3">
        <v>16256</v>
      </c>
      <c r="I72">
        <v>6439999.9999999991</v>
      </c>
      <c r="J72" s="15">
        <f t="shared" si="3"/>
        <v>9.1997736276174304</v>
      </c>
      <c r="K72" s="15">
        <f t="shared" si="4"/>
        <v>396.16141732283461</v>
      </c>
      <c r="L72">
        <f t="shared" si="5"/>
        <v>1543</v>
      </c>
    </row>
    <row r="73" spans="1:12" ht="14.25" customHeight="1" x14ac:dyDescent="0.35">
      <c r="A73" t="s">
        <v>576</v>
      </c>
      <c r="B73" s="22" t="s">
        <v>514</v>
      </c>
      <c r="C73" s="3" t="s">
        <v>46</v>
      </c>
      <c r="D73" s="3">
        <v>3044</v>
      </c>
      <c r="E73" s="3">
        <v>212</v>
      </c>
      <c r="F73" s="3">
        <v>490393</v>
      </c>
      <c r="G73" s="3">
        <v>8.5343795690395261</v>
      </c>
      <c r="H73" s="3">
        <v>20720</v>
      </c>
      <c r="I73">
        <v>4185200.0000000005</v>
      </c>
      <c r="J73" s="15">
        <f t="shared" si="3"/>
        <v>6.8068331143232585</v>
      </c>
      <c r="K73" s="15">
        <f t="shared" si="4"/>
        <v>201.98841698841701</v>
      </c>
      <c r="L73">
        <f t="shared" si="5"/>
        <v>2832</v>
      </c>
    </row>
    <row r="74" spans="1:12" ht="14.25" customHeight="1" x14ac:dyDescent="0.35">
      <c r="A74" t="s">
        <v>577</v>
      </c>
      <c r="B74" s="22" t="s">
        <v>515</v>
      </c>
      <c r="C74" s="3" t="s">
        <v>19</v>
      </c>
      <c r="D74" s="3">
        <v>2549</v>
      </c>
      <c r="E74" s="3">
        <v>128</v>
      </c>
      <c r="F74" s="3">
        <v>492814</v>
      </c>
      <c r="G74" s="3">
        <v>12.734216154573531</v>
      </c>
      <c r="H74" s="3">
        <v>43937</v>
      </c>
      <c r="I74">
        <v>6275600</v>
      </c>
      <c r="J74" s="15">
        <f t="shared" si="3"/>
        <v>17.23695566888976</v>
      </c>
      <c r="K74" s="15">
        <f t="shared" si="4"/>
        <v>142.83178186949496</v>
      </c>
      <c r="L74">
        <f t="shared" si="5"/>
        <v>2421</v>
      </c>
    </row>
    <row r="75" spans="1:12" ht="14.25" customHeight="1" x14ac:dyDescent="0.35">
      <c r="A75" t="s">
        <v>577</v>
      </c>
      <c r="B75" s="22" t="s">
        <v>515</v>
      </c>
      <c r="C75" s="3" t="s">
        <v>13</v>
      </c>
      <c r="D75" s="3">
        <v>7140</v>
      </c>
      <c r="E75" s="3">
        <v>939</v>
      </c>
      <c r="F75" s="3">
        <v>499015</v>
      </c>
      <c r="G75" s="3">
        <v>25.120888149654821</v>
      </c>
      <c r="H75" s="3">
        <v>43598</v>
      </c>
      <c r="I75">
        <v>12535700</v>
      </c>
      <c r="J75" s="15">
        <f t="shared" si="3"/>
        <v>6.106162464985994</v>
      </c>
      <c r="K75" s="15">
        <f t="shared" si="4"/>
        <v>287.52924446075508</v>
      </c>
      <c r="L75">
        <f t="shared" si="5"/>
        <v>6201</v>
      </c>
    </row>
    <row r="76" spans="1:12" ht="14.25" customHeight="1" x14ac:dyDescent="0.35">
      <c r="A76" t="s">
        <v>577</v>
      </c>
      <c r="B76" s="22" t="s">
        <v>515</v>
      </c>
      <c r="C76" s="3" t="s">
        <v>13</v>
      </c>
      <c r="D76" s="3">
        <v>4716</v>
      </c>
      <c r="E76" s="3">
        <v>569</v>
      </c>
      <c r="F76" s="3">
        <v>503162</v>
      </c>
      <c r="G76" s="3">
        <v>25.64820077827817</v>
      </c>
      <c r="H76" s="3">
        <v>11651</v>
      </c>
      <c r="I76">
        <v>12905200</v>
      </c>
      <c r="J76" s="15">
        <f t="shared" si="3"/>
        <v>2.4705258693808312</v>
      </c>
      <c r="K76" s="15">
        <f t="shared" si="4"/>
        <v>1107.6474122392929</v>
      </c>
      <c r="L76">
        <f t="shared" si="5"/>
        <v>4147</v>
      </c>
    </row>
    <row r="77" spans="1:12" ht="14.25" customHeight="1" x14ac:dyDescent="0.35">
      <c r="A77" t="s">
        <v>577</v>
      </c>
      <c r="B77" s="22" t="s">
        <v>515</v>
      </c>
      <c r="C77" s="3" t="s">
        <v>23</v>
      </c>
      <c r="D77" s="3">
        <v>5481</v>
      </c>
      <c r="E77" s="3">
        <v>673</v>
      </c>
      <c r="F77" s="3">
        <v>507970</v>
      </c>
      <c r="G77" s="3">
        <v>13.08758391243577</v>
      </c>
      <c r="H77" s="3">
        <v>29194</v>
      </c>
      <c r="I77">
        <v>6648099.9999999981</v>
      </c>
      <c r="J77" s="15">
        <f t="shared" si="3"/>
        <v>5.3264002919175333</v>
      </c>
      <c r="K77" s="15">
        <f t="shared" si="4"/>
        <v>227.72144961293409</v>
      </c>
      <c r="L77">
        <f t="shared" si="5"/>
        <v>4808</v>
      </c>
    </row>
    <row r="78" spans="1:12" ht="14.25" customHeight="1" x14ac:dyDescent="0.35">
      <c r="A78" t="s">
        <v>577</v>
      </c>
      <c r="B78" s="22" t="s">
        <v>516</v>
      </c>
      <c r="C78" s="3" t="s">
        <v>46</v>
      </c>
      <c r="D78" s="3">
        <v>8898</v>
      </c>
      <c r="E78" s="3">
        <v>1131</v>
      </c>
      <c r="F78" s="3">
        <v>515737</v>
      </c>
      <c r="G78" s="3">
        <v>2.1877429775253669</v>
      </c>
      <c r="H78" s="3">
        <v>35051</v>
      </c>
      <c r="I78">
        <v>1128300.0000000002</v>
      </c>
      <c r="J78" s="15">
        <f t="shared" si="3"/>
        <v>3.939199820184311</v>
      </c>
      <c r="K78" s="15">
        <f t="shared" si="4"/>
        <v>32.190237083107476</v>
      </c>
      <c r="L78">
        <f t="shared" si="5"/>
        <v>7767</v>
      </c>
    </row>
    <row r="79" spans="1:12" ht="14.25" customHeight="1" x14ac:dyDescent="0.35">
      <c r="A79" t="s">
        <v>577</v>
      </c>
      <c r="B79" s="22" t="s">
        <v>516</v>
      </c>
      <c r="C79" s="3" t="s">
        <v>13</v>
      </c>
      <c r="D79" s="3">
        <v>7548</v>
      </c>
      <c r="E79" s="3">
        <v>433</v>
      </c>
      <c r="F79" s="3">
        <v>522852</v>
      </c>
      <c r="G79" s="3">
        <v>8.3562843787534522</v>
      </c>
      <c r="H79" s="3">
        <v>37386</v>
      </c>
      <c r="I79">
        <v>4369100</v>
      </c>
      <c r="J79" s="15">
        <f t="shared" si="3"/>
        <v>4.9531001589825117</v>
      </c>
      <c r="K79" s="15">
        <f t="shared" si="4"/>
        <v>116.86460172256994</v>
      </c>
      <c r="L79">
        <f t="shared" si="5"/>
        <v>7115</v>
      </c>
    </row>
    <row r="80" spans="1:12" ht="14.25" customHeight="1" x14ac:dyDescent="0.35">
      <c r="A80" t="s">
        <v>577</v>
      </c>
      <c r="B80" s="22" t="s">
        <v>516</v>
      </c>
      <c r="C80" s="3" t="s">
        <v>46</v>
      </c>
      <c r="D80" s="3">
        <v>3293</v>
      </c>
      <c r="E80" s="3">
        <v>282</v>
      </c>
      <c r="F80" s="3">
        <v>525863</v>
      </c>
      <c r="G80" s="3">
        <v>27.040693108281051</v>
      </c>
      <c r="H80" s="3">
        <v>19518</v>
      </c>
      <c r="I80">
        <v>14219699.999999998</v>
      </c>
      <c r="J80" s="15">
        <f t="shared" si="3"/>
        <v>5.9271181293653203</v>
      </c>
      <c r="K80" s="15">
        <f t="shared" si="4"/>
        <v>728.54288349216097</v>
      </c>
      <c r="L80">
        <f t="shared" si="5"/>
        <v>3011</v>
      </c>
    </row>
    <row r="81" spans="1:12" ht="14.25" customHeight="1" x14ac:dyDescent="0.35">
      <c r="A81" t="s">
        <v>577</v>
      </c>
      <c r="B81" s="22" t="s">
        <v>516</v>
      </c>
      <c r="C81" s="3" t="s">
        <v>46</v>
      </c>
      <c r="D81" s="3">
        <v>5837</v>
      </c>
      <c r="E81" s="3">
        <v>359</v>
      </c>
      <c r="F81" s="3">
        <v>531341</v>
      </c>
      <c r="G81" s="3">
        <v>6.8073045370110723</v>
      </c>
      <c r="H81" s="3">
        <v>56026</v>
      </c>
      <c r="I81">
        <v>3617000</v>
      </c>
      <c r="J81" s="15">
        <f t="shared" si="3"/>
        <v>9.5984238478670552</v>
      </c>
      <c r="K81" s="15">
        <f t="shared" si="4"/>
        <v>64.55931174811694</v>
      </c>
      <c r="L81">
        <f t="shared" si="5"/>
        <v>5478</v>
      </c>
    </row>
    <row r="82" spans="1:12" ht="14.25" customHeight="1" x14ac:dyDescent="0.35">
      <c r="A82" t="s">
        <v>577</v>
      </c>
      <c r="B82" s="22" t="s">
        <v>130</v>
      </c>
      <c r="C82" s="3" t="s">
        <v>23</v>
      </c>
      <c r="D82" s="3">
        <v>8758</v>
      </c>
      <c r="E82" s="3">
        <v>1193</v>
      </c>
      <c r="F82" s="3">
        <v>538906</v>
      </c>
      <c r="G82" s="3">
        <v>3.4213758985797149</v>
      </c>
      <c r="H82" s="3">
        <v>26184</v>
      </c>
      <c r="I82">
        <v>1843799.9999999998</v>
      </c>
      <c r="J82" s="15">
        <f t="shared" si="3"/>
        <v>2.9897236812057546</v>
      </c>
      <c r="K82" s="15">
        <f t="shared" si="4"/>
        <v>70.417048579285051</v>
      </c>
      <c r="L82">
        <f t="shared" si="5"/>
        <v>7565</v>
      </c>
    </row>
    <row r="83" spans="1:12" ht="14.25" customHeight="1" x14ac:dyDescent="0.35">
      <c r="A83" t="s">
        <v>577</v>
      </c>
      <c r="B83" s="22" t="s">
        <v>130</v>
      </c>
      <c r="C83" s="3" t="s">
        <v>13</v>
      </c>
      <c r="D83" s="3">
        <v>7793</v>
      </c>
      <c r="E83" s="3">
        <v>875</v>
      </c>
      <c r="F83" s="3">
        <v>545824</v>
      </c>
      <c r="G83" s="3">
        <v>5.5136820660139527</v>
      </c>
      <c r="H83" s="3">
        <v>43787</v>
      </c>
      <c r="I83">
        <v>3009499.9999999995</v>
      </c>
      <c r="J83" s="15">
        <f t="shared" si="3"/>
        <v>5.6187604260233543</v>
      </c>
      <c r="K83" s="15">
        <f t="shared" si="4"/>
        <v>68.730445109279003</v>
      </c>
      <c r="L83">
        <f t="shared" si="5"/>
        <v>6918</v>
      </c>
    </row>
    <row r="84" spans="1:12" ht="14.25" customHeight="1" x14ac:dyDescent="0.35">
      <c r="A84" t="s">
        <v>577</v>
      </c>
      <c r="B84" s="22" t="s">
        <v>130</v>
      </c>
      <c r="C84" s="3" t="s">
        <v>23</v>
      </c>
      <c r="D84" s="3">
        <v>8638</v>
      </c>
      <c r="E84" s="3">
        <v>717</v>
      </c>
      <c r="F84" s="3">
        <v>553745</v>
      </c>
      <c r="G84" s="3">
        <v>26.921416897669499</v>
      </c>
      <c r="H84" s="3">
        <v>31621</v>
      </c>
      <c r="I84">
        <v>14907599.999999996</v>
      </c>
      <c r="J84" s="15">
        <f t="shared" si="3"/>
        <v>3.6606853438295901</v>
      </c>
      <c r="K84" s="15">
        <f t="shared" si="4"/>
        <v>471.44619082255451</v>
      </c>
      <c r="L84">
        <f t="shared" si="5"/>
        <v>7921</v>
      </c>
    </row>
    <row r="85" spans="1:12" ht="14.25" customHeight="1" x14ac:dyDescent="0.35">
      <c r="A85" t="s">
        <v>577</v>
      </c>
      <c r="B85" s="22" t="s">
        <v>130</v>
      </c>
      <c r="C85" s="3" t="s">
        <v>23</v>
      </c>
      <c r="D85" s="3">
        <v>8993</v>
      </c>
      <c r="E85" s="3">
        <v>506</v>
      </c>
      <c r="F85" s="3">
        <v>562232</v>
      </c>
      <c r="G85" s="3">
        <v>3.5131404829323132</v>
      </c>
      <c r="H85" s="3">
        <v>20028</v>
      </c>
      <c r="I85">
        <v>1975200.0000000002</v>
      </c>
      <c r="J85" s="15">
        <f t="shared" si="3"/>
        <v>2.2270654953852995</v>
      </c>
      <c r="K85" s="15">
        <f t="shared" si="4"/>
        <v>98.621929298981442</v>
      </c>
      <c r="L85">
        <f t="shared" si="5"/>
        <v>8487</v>
      </c>
    </row>
    <row r="86" spans="1:12" ht="14.25" customHeight="1" x14ac:dyDescent="0.35">
      <c r="A86" t="s">
        <v>577</v>
      </c>
      <c r="B86" s="22" t="s">
        <v>161</v>
      </c>
      <c r="C86" s="3" t="s">
        <v>13</v>
      </c>
      <c r="D86" s="3">
        <v>7007</v>
      </c>
      <c r="E86" s="3">
        <v>568</v>
      </c>
      <c r="F86" s="3">
        <v>568671</v>
      </c>
      <c r="G86" s="3">
        <v>11.50507059442103</v>
      </c>
      <c r="H86" s="3">
        <v>22448</v>
      </c>
      <c r="I86">
        <v>6542600.0000000009</v>
      </c>
      <c r="J86" s="15">
        <f t="shared" si="3"/>
        <v>3.2036534893677753</v>
      </c>
      <c r="K86" s="15">
        <f t="shared" si="4"/>
        <v>291.45580898075559</v>
      </c>
      <c r="L86">
        <f t="shared" si="5"/>
        <v>6439</v>
      </c>
    </row>
    <row r="87" spans="1:12" ht="14.25" customHeight="1" x14ac:dyDescent="0.35">
      <c r="A87" t="s">
        <v>577</v>
      </c>
      <c r="B87" s="22" t="s">
        <v>161</v>
      </c>
      <c r="C87" s="3" t="s">
        <v>13</v>
      </c>
      <c r="D87" s="3">
        <v>6542</v>
      </c>
      <c r="E87" s="3">
        <v>539</v>
      </c>
      <c r="F87" s="3">
        <v>574674</v>
      </c>
      <c r="G87" s="3">
        <v>6.4069368024305948</v>
      </c>
      <c r="H87" s="3">
        <v>55253</v>
      </c>
      <c r="I87">
        <v>3681899.9999999995</v>
      </c>
      <c r="J87" s="15">
        <f t="shared" si="3"/>
        <v>8.4458881076123511</v>
      </c>
      <c r="K87" s="15">
        <f t="shared" si="4"/>
        <v>66.63710567751977</v>
      </c>
      <c r="L87">
        <f t="shared" si="5"/>
        <v>6003</v>
      </c>
    </row>
    <row r="88" spans="1:12" ht="14.25" customHeight="1" x14ac:dyDescent="0.35">
      <c r="A88" t="s">
        <v>577</v>
      </c>
      <c r="B88" s="22" t="s">
        <v>161</v>
      </c>
      <c r="C88" s="3" t="s">
        <v>19</v>
      </c>
      <c r="D88" s="3">
        <v>7356</v>
      </c>
      <c r="E88" s="3">
        <v>904</v>
      </c>
      <c r="F88" s="3">
        <v>581126</v>
      </c>
      <c r="G88" s="3">
        <v>17.560907617280929</v>
      </c>
      <c r="H88" s="3">
        <v>44051</v>
      </c>
      <c r="I88">
        <v>10205099.999999996</v>
      </c>
      <c r="J88" s="15">
        <f t="shared" si="3"/>
        <v>5.9884448069603042</v>
      </c>
      <c r="K88" s="15">
        <f t="shared" si="4"/>
        <v>231.66556945358781</v>
      </c>
      <c r="L88">
        <f t="shared" si="5"/>
        <v>6452</v>
      </c>
    </row>
    <row r="89" spans="1:12" ht="14.25" customHeight="1" x14ac:dyDescent="0.35">
      <c r="A89" t="s">
        <v>577</v>
      </c>
      <c r="B89" s="22" t="s">
        <v>161</v>
      </c>
      <c r="C89" s="3" t="s">
        <v>19</v>
      </c>
      <c r="D89" s="3">
        <v>9433</v>
      </c>
      <c r="E89" s="3">
        <v>1073</v>
      </c>
      <c r="F89" s="3">
        <v>589486</v>
      </c>
      <c r="G89" s="3">
        <v>7.2934726185185053</v>
      </c>
      <c r="H89" s="3">
        <v>59811</v>
      </c>
      <c r="I89">
        <v>4299400</v>
      </c>
      <c r="J89" s="15">
        <f t="shared" si="3"/>
        <v>6.3406127424997347</v>
      </c>
      <c r="K89" s="15">
        <f t="shared" si="4"/>
        <v>71.883098426710802</v>
      </c>
      <c r="L89">
        <f t="shared" si="5"/>
        <v>8360</v>
      </c>
    </row>
    <row r="90" spans="1:12" ht="14.25" customHeight="1" x14ac:dyDescent="0.35">
      <c r="A90" t="s">
        <v>578</v>
      </c>
      <c r="B90" s="22" t="s">
        <v>233</v>
      </c>
      <c r="C90" s="3" t="s">
        <v>46</v>
      </c>
      <c r="D90" s="3">
        <v>8380</v>
      </c>
      <c r="E90" s="3">
        <v>1162</v>
      </c>
      <c r="F90" s="3">
        <v>596704</v>
      </c>
      <c r="G90" s="3">
        <v>18.05853488496809</v>
      </c>
      <c r="H90" s="3">
        <v>40447</v>
      </c>
      <c r="I90">
        <v>10775599.999999998</v>
      </c>
      <c r="J90" s="15">
        <f t="shared" si="3"/>
        <v>4.8266109785202866</v>
      </c>
      <c r="K90" s="15">
        <f t="shared" si="4"/>
        <v>266.41283655153654</v>
      </c>
      <c r="L90">
        <f t="shared" si="5"/>
        <v>7218</v>
      </c>
    </row>
    <row r="91" spans="1:12" ht="14.25" customHeight="1" x14ac:dyDescent="0.35">
      <c r="A91" t="s">
        <v>578</v>
      </c>
      <c r="B91" s="22" t="s">
        <v>233</v>
      </c>
      <c r="C91" s="3" t="s">
        <v>13</v>
      </c>
      <c r="D91" s="3">
        <v>3385</v>
      </c>
      <c r="E91" s="3">
        <v>329</v>
      </c>
      <c r="F91" s="3">
        <v>599760</v>
      </c>
      <c r="G91" s="3">
        <v>17.61788048552755</v>
      </c>
      <c r="H91" s="3">
        <v>28394</v>
      </c>
      <c r="I91">
        <v>10566500.000000004</v>
      </c>
      <c r="J91" s="15">
        <f t="shared" si="3"/>
        <v>8.3881831610044308</v>
      </c>
      <c r="K91" s="15">
        <f t="shared" si="4"/>
        <v>372.13847996055517</v>
      </c>
      <c r="L91">
        <f t="shared" si="5"/>
        <v>3056</v>
      </c>
    </row>
    <row r="92" spans="1:12" ht="14.25" customHeight="1" x14ac:dyDescent="0.35">
      <c r="A92" t="s">
        <v>578</v>
      </c>
      <c r="B92" s="22" t="s">
        <v>233</v>
      </c>
      <c r="C92" s="3" t="s">
        <v>19</v>
      </c>
      <c r="D92" s="3">
        <v>5268</v>
      </c>
      <c r="E92" s="3">
        <v>326</v>
      </c>
      <c r="F92" s="3">
        <v>604702</v>
      </c>
      <c r="G92" s="3">
        <v>23.435841125050029</v>
      </c>
      <c r="H92" s="3">
        <v>44501</v>
      </c>
      <c r="I92">
        <v>14171700.000000002</v>
      </c>
      <c r="J92" s="15">
        <f t="shared" si="3"/>
        <v>8.4474183750949123</v>
      </c>
      <c r="K92" s="15">
        <f t="shared" si="4"/>
        <v>318.45801217950162</v>
      </c>
      <c r="L92">
        <f t="shared" si="5"/>
        <v>4942</v>
      </c>
    </row>
    <row r="93" spans="1:12" ht="14.25" customHeight="1" x14ac:dyDescent="0.35">
      <c r="A93" t="s">
        <v>578</v>
      </c>
      <c r="B93" s="22" t="s">
        <v>233</v>
      </c>
      <c r="C93" s="3" t="s">
        <v>46</v>
      </c>
      <c r="D93" s="3">
        <v>1671</v>
      </c>
      <c r="E93" s="3">
        <v>202</v>
      </c>
      <c r="F93" s="3">
        <v>606171</v>
      </c>
      <c r="G93" s="3">
        <v>15.150015424690389</v>
      </c>
      <c r="H93" s="3">
        <v>40254</v>
      </c>
      <c r="I93">
        <v>9183499.9999999981</v>
      </c>
      <c r="J93" s="15">
        <f t="shared" si="3"/>
        <v>24.089766606822263</v>
      </c>
      <c r="K93" s="15">
        <f t="shared" si="4"/>
        <v>228.13881850250903</v>
      </c>
      <c r="L93">
        <f t="shared" si="5"/>
        <v>1469</v>
      </c>
    </row>
    <row r="94" spans="1:12" ht="14.25" customHeight="1" x14ac:dyDescent="0.35">
      <c r="A94" t="s">
        <v>578</v>
      </c>
      <c r="B94" s="22" t="s">
        <v>517</v>
      </c>
      <c r="C94" s="3" t="s">
        <v>46</v>
      </c>
      <c r="D94" s="3">
        <v>1163</v>
      </c>
      <c r="E94" s="3">
        <v>146</v>
      </c>
      <c r="F94" s="3">
        <v>607188</v>
      </c>
      <c r="G94" s="3">
        <v>21.77776899411715</v>
      </c>
      <c r="H94" s="3">
        <v>28509</v>
      </c>
      <c r="I94">
        <v>13223200.000000004</v>
      </c>
      <c r="J94" s="15">
        <f t="shared" si="3"/>
        <v>24.513327601031815</v>
      </c>
      <c r="K94" s="15">
        <f t="shared" si="4"/>
        <v>463.82545862710032</v>
      </c>
      <c r="L94">
        <f t="shared" si="5"/>
        <v>1017</v>
      </c>
    </row>
    <row r="95" spans="1:12" ht="14.25" customHeight="1" x14ac:dyDescent="0.35">
      <c r="A95" t="s">
        <v>578</v>
      </c>
      <c r="B95" s="22" t="s">
        <v>517</v>
      </c>
      <c r="C95" s="3" t="s">
        <v>46</v>
      </c>
      <c r="D95" s="3">
        <v>9656</v>
      </c>
      <c r="E95" s="3">
        <v>1024</v>
      </c>
      <c r="F95" s="3">
        <v>615820</v>
      </c>
      <c r="G95" s="3">
        <v>8.7252768666168681</v>
      </c>
      <c r="H95" s="3">
        <v>58998</v>
      </c>
      <c r="I95">
        <v>5373200</v>
      </c>
      <c r="J95" s="15">
        <f t="shared" si="3"/>
        <v>6.1099834299917148</v>
      </c>
      <c r="K95" s="15">
        <f t="shared" si="4"/>
        <v>91.074273704193359</v>
      </c>
      <c r="L95">
        <f t="shared" si="5"/>
        <v>8632</v>
      </c>
    </row>
    <row r="96" spans="1:12" ht="14.25" customHeight="1" x14ac:dyDescent="0.35">
      <c r="A96" t="s">
        <v>578</v>
      </c>
      <c r="B96" s="22" t="s">
        <v>517</v>
      </c>
      <c r="C96" s="3" t="s">
        <v>19</v>
      </c>
      <c r="D96" s="3">
        <v>5592</v>
      </c>
      <c r="E96" s="3">
        <v>710</v>
      </c>
      <c r="F96" s="3">
        <v>620702</v>
      </c>
      <c r="G96" s="3">
        <v>9.07118069540617</v>
      </c>
      <c r="H96" s="3">
        <v>24472</v>
      </c>
      <c r="I96">
        <v>5630500.0000000009</v>
      </c>
      <c r="J96" s="15">
        <f t="shared" si="3"/>
        <v>4.3762517882689558</v>
      </c>
      <c r="K96" s="15">
        <f t="shared" si="4"/>
        <v>230.07927427263814</v>
      </c>
      <c r="L96">
        <f t="shared" si="5"/>
        <v>4882</v>
      </c>
    </row>
    <row r="97" spans="1:12" ht="14.25" customHeight="1" x14ac:dyDescent="0.35">
      <c r="A97" t="s">
        <v>578</v>
      </c>
      <c r="B97" s="22" t="s">
        <v>517</v>
      </c>
      <c r="C97" s="3" t="s">
        <v>13</v>
      </c>
      <c r="D97" s="3">
        <v>5795</v>
      </c>
      <c r="E97" s="3">
        <v>575</v>
      </c>
      <c r="F97" s="3">
        <v>625922</v>
      </c>
      <c r="G97" s="3">
        <v>3.0908004511744269</v>
      </c>
      <c r="H97" s="3">
        <v>55657</v>
      </c>
      <c r="I97">
        <v>1934599.9999999995</v>
      </c>
      <c r="J97" s="15">
        <f t="shared" si="3"/>
        <v>9.604314063848145</v>
      </c>
      <c r="K97" s="15">
        <f t="shared" si="4"/>
        <v>34.759329464398</v>
      </c>
      <c r="L97">
        <f t="shared" si="5"/>
        <v>5220</v>
      </c>
    </row>
    <row r="98" spans="1:12" ht="14.25" customHeight="1" x14ac:dyDescent="0.35">
      <c r="A98" t="s">
        <v>578</v>
      </c>
      <c r="B98" s="22" t="s">
        <v>54</v>
      </c>
      <c r="C98" s="3" t="s">
        <v>23</v>
      </c>
      <c r="D98" s="3">
        <v>5798</v>
      </c>
      <c r="E98" s="3">
        <v>592</v>
      </c>
      <c r="F98" s="3">
        <v>631128</v>
      </c>
      <c r="G98" s="3">
        <v>1.6774727155188811</v>
      </c>
      <c r="H98" s="3">
        <v>13471</v>
      </c>
      <c r="I98">
        <v>1058700.0000000005</v>
      </c>
      <c r="J98" s="15">
        <f t="shared" si="3"/>
        <v>2.3233873749568819</v>
      </c>
      <c r="K98" s="15">
        <f t="shared" si="4"/>
        <v>78.591047435231275</v>
      </c>
      <c r="L98">
        <f t="shared" si="5"/>
        <v>5206</v>
      </c>
    </row>
    <row r="99" spans="1:12" ht="14.25" customHeight="1" x14ac:dyDescent="0.35">
      <c r="A99" t="s">
        <v>578</v>
      </c>
      <c r="B99" s="22" t="s">
        <v>54</v>
      </c>
      <c r="C99" s="3" t="s">
        <v>46</v>
      </c>
      <c r="D99" s="3">
        <v>7036</v>
      </c>
      <c r="E99" s="3">
        <v>652</v>
      </c>
      <c r="F99" s="3">
        <v>637512</v>
      </c>
      <c r="G99" s="3">
        <v>3.5705994553828009</v>
      </c>
      <c r="H99" s="3">
        <v>51796</v>
      </c>
      <c r="I99">
        <v>2276300</v>
      </c>
      <c r="J99" s="15">
        <f t="shared" si="3"/>
        <v>7.3615690733371233</v>
      </c>
      <c r="K99" s="15">
        <f t="shared" si="4"/>
        <v>43.947409066337165</v>
      </c>
      <c r="L99">
        <f t="shared" si="5"/>
        <v>6384</v>
      </c>
    </row>
    <row r="100" spans="1:12" ht="14.25" customHeight="1" x14ac:dyDescent="0.35">
      <c r="A100" t="s">
        <v>578</v>
      </c>
      <c r="B100" s="22" t="s">
        <v>54</v>
      </c>
      <c r="C100" s="3" t="s">
        <v>19</v>
      </c>
      <c r="D100" s="3">
        <v>3355</v>
      </c>
      <c r="E100" s="3">
        <v>176</v>
      </c>
      <c r="F100" s="3">
        <v>640691</v>
      </c>
      <c r="G100" s="3">
        <v>12.426427091999111</v>
      </c>
      <c r="H100" s="3">
        <v>40268</v>
      </c>
      <c r="I100">
        <v>7961500.0000000028</v>
      </c>
      <c r="J100" s="15">
        <f t="shared" si="3"/>
        <v>12.002384500745157</v>
      </c>
      <c r="K100" s="15">
        <f t="shared" si="4"/>
        <v>197.71282407867295</v>
      </c>
      <c r="L100">
        <f t="shared" si="5"/>
        <v>3179</v>
      </c>
    </row>
    <row r="101" spans="1:12" ht="14.25" customHeight="1" x14ac:dyDescent="0.35">
      <c r="A101" t="s">
        <v>578</v>
      </c>
      <c r="B101" s="22" t="s">
        <v>54</v>
      </c>
      <c r="C101" s="3" t="s">
        <v>19</v>
      </c>
      <c r="D101" s="3">
        <v>6887</v>
      </c>
      <c r="E101" s="3">
        <v>418</v>
      </c>
      <c r="F101" s="3">
        <v>647160</v>
      </c>
      <c r="G101" s="3">
        <v>20.240280610668151</v>
      </c>
      <c r="H101" s="3">
        <v>18329</v>
      </c>
      <c r="I101">
        <v>13098700</v>
      </c>
      <c r="J101" s="15">
        <f t="shared" si="3"/>
        <v>2.6613910265718022</v>
      </c>
      <c r="K101" s="15">
        <f t="shared" si="4"/>
        <v>714.64346118173387</v>
      </c>
      <c r="L101">
        <f t="shared" si="5"/>
        <v>6469</v>
      </c>
    </row>
    <row r="102" spans="1:12" ht="14.25" customHeight="1" x14ac:dyDescent="0.35">
      <c r="A102" t="s">
        <v>578</v>
      </c>
      <c r="B102" s="22" t="s">
        <v>452</v>
      </c>
      <c r="C102" s="3" t="s">
        <v>23</v>
      </c>
      <c r="D102" s="3">
        <v>8961</v>
      </c>
      <c r="E102" s="3">
        <v>476</v>
      </c>
      <c r="F102" s="3">
        <v>655645</v>
      </c>
      <c r="G102" s="3">
        <v>15.458517947974901</v>
      </c>
      <c r="H102" s="3">
        <v>44865</v>
      </c>
      <c r="I102">
        <v>10135300.000000004</v>
      </c>
      <c r="J102" s="15">
        <f t="shared" si="3"/>
        <v>5.0066956812855707</v>
      </c>
      <c r="K102" s="15">
        <f t="shared" si="4"/>
        <v>225.90660871503408</v>
      </c>
      <c r="L102">
        <f t="shared" si="5"/>
        <v>8485</v>
      </c>
    </row>
    <row r="103" spans="1:12" ht="14.25" customHeight="1" x14ac:dyDescent="0.35">
      <c r="A103" t="s">
        <v>578</v>
      </c>
      <c r="B103" s="22" t="s">
        <v>452</v>
      </c>
      <c r="C103" s="3" t="s">
        <v>23</v>
      </c>
      <c r="D103" s="3">
        <v>6827</v>
      </c>
      <c r="E103" s="3">
        <v>775</v>
      </c>
      <c r="F103" s="3">
        <v>661697</v>
      </c>
      <c r="G103" s="3">
        <v>15.96622018839439</v>
      </c>
      <c r="H103" s="3">
        <v>56850</v>
      </c>
      <c r="I103">
        <v>10564800.000000002</v>
      </c>
      <c r="J103" s="15">
        <f t="shared" si="3"/>
        <v>8.3272301157170059</v>
      </c>
      <c r="K103" s="15">
        <f t="shared" si="4"/>
        <v>185.83641160949873</v>
      </c>
      <c r="L103">
        <f t="shared" si="5"/>
        <v>6052</v>
      </c>
    </row>
    <row r="104" spans="1:12" ht="14.25" customHeight="1" x14ac:dyDescent="0.35">
      <c r="A104" t="s">
        <v>578</v>
      </c>
      <c r="B104" s="22" t="s">
        <v>452</v>
      </c>
      <c r="C104" s="3" t="s">
        <v>19</v>
      </c>
      <c r="D104" s="3">
        <v>9737</v>
      </c>
      <c r="E104" s="3">
        <v>792</v>
      </c>
      <c r="F104" s="3">
        <v>670642</v>
      </c>
      <c r="G104" s="3">
        <v>5.301785453341723</v>
      </c>
      <c r="H104" s="3">
        <v>56698</v>
      </c>
      <c r="I104">
        <v>3555600</v>
      </c>
      <c r="J104" s="15">
        <f t="shared" si="3"/>
        <v>5.8229434117284589</v>
      </c>
      <c r="K104" s="15">
        <f t="shared" si="4"/>
        <v>62.711206744505979</v>
      </c>
      <c r="L104">
        <f t="shared" si="5"/>
        <v>8945</v>
      </c>
    </row>
    <row r="105" spans="1:12" ht="14.25" customHeight="1" x14ac:dyDescent="0.35">
      <c r="A105" t="s">
        <v>578</v>
      </c>
      <c r="B105" s="22" t="s">
        <v>452</v>
      </c>
      <c r="C105" s="3" t="s">
        <v>13</v>
      </c>
      <c r="D105" s="3">
        <v>5719</v>
      </c>
      <c r="E105" s="3">
        <v>576</v>
      </c>
      <c r="F105" s="3">
        <v>675785</v>
      </c>
      <c r="G105" s="3">
        <v>10.21656296011305</v>
      </c>
      <c r="H105" s="3">
        <v>38272</v>
      </c>
      <c r="I105">
        <v>6904199.9999999972</v>
      </c>
      <c r="J105" s="15">
        <f t="shared" si="3"/>
        <v>6.6920790347962926</v>
      </c>
      <c r="K105" s="15">
        <f t="shared" si="4"/>
        <v>180.39820234113705</v>
      </c>
      <c r="L105">
        <f t="shared" si="5"/>
        <v>5143</v>
      </c>
    </row>
    <row r="106" spans="1:12" ht="14.25" customHeight="1" x14ac:dyDescent="0.35">
      <c r="A106" t="s">
        <v>579</v>
      </c>
      <c r="B106" s="22" t="s">
        <v>518</v>
      </c>
      <c r="C106" s="3" t="s">
        <v>23</v>
      </c>
      <c r="D106" s="3">
        <v>1593</v>
      </c>
      <c r="E106" s="3">
        <v>224</v>
      </c>
      <c r="F106" s="3">
        <v>677154</v>
      </c>
      <c r="G106" s="3">
        <v>4.1495730660972248</v>
      </c>
      <c r="H106" s="3">
        <v>52845</v>
      </c>
      <c r="I106">
        <v>2809900</v>
      </c>
      <c r="J106" s="15">
        <f t="shared" si="3"/>
        <v>33.173258003766477</v>
      </c>
      <c r="K106" s="15">
        <f t="shared" si="4"/>
        <v>53.17248557100956</v>
      </c>
      <c r="L106">
        <f t="shared" si="5"/>
        <v>1369</v>
      </c>
    </row>
    <row r="107" spans="1:12" ht="14.25" customHeight="1" x14ac:dyDescent="0.35">
      <c r="A107" t="s">
        <v>579</v>
      </c>
      <c r="B107" s="22" t="s">
        <v>518</v>
      </c>
      <c r="C107" s="3" t="s">
        <v>19</v>
      </c>
      <c r="D107" s="3">
        <v>5839</v>
      </c>
      <c r="E107" s="3">
        <v>437</v>
      </c>
      <c r="F107" s="3">
        <v>682556</v>
      </c>
      <c r="G107" s="3">
        <v>17.44750613869045</v>
      </c>
      <c r="H107" s="3">
        <v>16397</v>
      </c>
      <c r="I107">
        <v>11908899.999999998</v>
      </c>
      <c r="J107" s="15">
        <f t="shared" si="3"/>
        <v>2.8081863332762458</v>
      </c>
      <c r="K107" s="15">
        <f t="shared" si="4"/>
        <v>726.28529609074815</v>
      </c>
      <c r="L107">
        <f t="shared" si="5"/>
        <v>5402</v>
      </c>
    </row>
    <row r="108" spans="1:12" ht="14.25" customHeight="1" x14ac:dyDescent="0.35">
      <c r="A108" t="s">
        <v>579</v>
      </c>
      <c r="B108" s="22" t="s">
        <v>518</v>
      </c>
      <c r="C108" s="3" t="s">
        <v>23</v>
      </c>
      <c r="D108" s="3">
        <v>8394</v>
      </c>
      <c r="E108" s="3">
        <v>764</v>
      </c>
      <c r="F108" s="3">
        <v>690186</v>
      </c>
      <c r="G108" s="3">
        <v>6.3556780346167558</v>
      </c>
      <c r="H108" s="3">
        <v>42373</v>
      </c>
      <c r="I108">
        <v>4386600</v>
      </c>
      <c r="J108" s="15">
        <f t="shared" si="3"/>
        <v>5.0480104836788184</v>
      </c>
      <c r="K108" s="15">
        <f t="shared" si="4"/>
        <v>103.52347013428363</v>
      </c>
      <c r="L108">
        <f t="shared" si="5"/>
        <v>7630</v>
      </c>
    </row>
    <row r="109" spans="1:12" ht="14.25" customHeight="1" x14ac:dyDescent="0.35">
      <c r="A109" t="s">
        <v>579</v>
      </c>
      <c r="B109" s="22" t="s">
        <v>518</v>
      </c>
      <c r="C109" s="3" t="s">
        <v>13</v>
      </c>
      <c r="D109" s="3">
        <v>4493</v>
      </c>
      <c r="E109" s="3">
        <v>564</v>
      </c>
      <c r="F109" s="3">
        <v>694115</v>
      </c>
      <c r="G109" s="3">
        <v>16.625487131094989</v>
      </c>
      <c r="H109" s="3">
        <v>45525</v>
      </c>
      <c r="I109">
        <v>11539999.999999998</v>
      </c>
      <c r="J109" s="15">
        <f t="shared" si="3"/>
        <v>10.132428221678166</v>
      </c>
      <c r="K109" s="15">
        <f t="shared" si="4"/>
        <v>253.48709500274569</v>
      </c>
      <c r="L109">
        <f t="shared" si="5"/>
        <v>3929</v>
      </c>
    </row>
    <row r="110" spans="1:12" ht="14.25" customHeight="1" x14ac:dyDescent="0.35">
      <c r="A110" t="s">
        <v>579</v>
      </c>
      <c r="B110" s="22" t="s">
        <v>178</v>
      </c>
      <c r="C110" s="3" t="s">
        <v>46</v>
      </c>
      <c r="D110" s="3">
        <v>7164</v>
      </c>
      <c r="E110" s="3">
        <v>522</v>
      </c>
      <c r="F110" s="3">
        <v>700757</v>
      </c>
      <c r="G110" s="3">
        <v>13.449169969047761</v>
      </c>
      <c r="H110" s="3">
        <v>34570</v>
      </c>
      <c r="I110">
        <v>9424600.0000000019</v>
      </c>
      <c r="J110" s="15">
        <f t="shared" si="3"/>
        <v>4.8255164712451144</v>
      </c>
      <c r="K110" s="15">
        <f t="shared" si="4"/>
        <v>272.62366213479902</v>
      </c>
      <c r="L110">
        <f t="shared" si="5"/>
        <v>6642</v>
      </c>
    </row>
    <row r="111" spans="1:12" ht="14.25" customHeight="1" x14ac:dyDescent="0.35">
      <c r="A111" t="s">
        <v>579</v>
      </c>
      <c r="B111" s="22" t="s">
        <v>178</v>
      </c>
      <c r="C111" s="3" t="s">
        <v>23</v>
      </c>
      <c r="D111" s="3">
        <v>3672</v>
      </c>
      <c r="E111" s="3">
        <v>211</v>
      </c>
      <c r="F111" s="3">
        <v>704218</v>
      </c>
      <c r="G111" s="3">
        <v>12.35057894004413</v>
      </c>
      <c r="H111" s="3">
        <v>28284</v>
      </c>
      <c r="I111">
        <v>8697499.9999999981</v>
      </c>
      <c r="J111" s="15">
        <f t="shared" si="3"/>
        <v>7.7026143790849675</v>
      </c>
      <c r="K111" s="15">
        <f t="shared" si="4"/>
        <v>307.50601046528067</v>
      </c>
      <c r="L111">
        <f t="shared" si="5"/>
        <v>3461</v>
      </c>
    </row>
    <row r="112" spans="1:12" ht="14.25" customHeight="1" x14ac:dyDescent="0.35">
      <c r="A112" t="s">
        <v>579</v>
      </c>
      <c r="B112" s="22" t="s">
        <v>178</v>
      </c>
      <c r="C112" s="3" t="s">
        <v>13</v>
      </c>
      <c r="D112" s="3">
        <v>5200</v>
      </c>
      <c r="E112" s="3">
        <v>410</v>
      </c>
      <c r="F112" s="3">
        <v>709008</v>
      </c>
      <c r="G112" s="3">
        <v>12.913394489201821</v>
      </c>
      <c r="H112" s="3">
        <v>28994</v>
      </c>
      <c r="I112">
        <v>9155700.0000000037</v>
      </c>
      <c r="J112" s="15">
        <f t="shared" si="3"/>
        <v>5.5757692307692306</v>
      </c>
      <c r="K112" s="15">
        <f t="shared" si="4"/>
        <v>315.77912671587239</v>
      </c>
      <c r="L112">
        <f t="shared" si="5"/>
        <v>4790</v>
      </c>
    </row>
    <row r="113" spans="1:12" ht="14.25" customHeight="1" x14ac:dyDescent="0.35">
      <c r="A113" t="s">
        <v>579</v>
      </c>
      <c r="B113" s="22" t="s">
        <v>178</v>
      </c>
      <c r="C113" s="3" t="s">
        <v>19</v>
      </c>
      <c r="D113" s="3">
        <v>1016</v>
      </c>
      <c r="E113" s="3">
        <v>67</v>
      </c>
      <c r="F113" s="3">
        <v>709957</v>
      </c>
      <c r="G113" s="3">
        <v>20.774215903216671</v>
      </c>
      <c r="H113" s="3">
        <v>33284</v>
      </c>
      <c r="I113">
        <v>14748799.999999998</v>
      </c>
      <c r="J113" s="15">
        <f t="shared" si="3"/>
        <v>32.759842519685037</v>
      </c>
      <c r="K113" s="15">
        <f t="shared" si="4"/>
        <v>443.11981732964784</v>
      </c>
      <c r="L113">
        <f t="shared" si="5"/>
        <v>949</v>
      </c>
    </row>
    <row r="114" spans="1:12" ht="14.25" customHeight="1" x14ac:dyDescent="0.35">
      <c r="A114" t="s">
        <v>579</v>
      </c>
      <c r="B114" s="22" t="s">
        <v>89</v>
      </c>
      <c r="C114" s="3" t="s">
        <v>23</v>
      </c>
      <c r="D114" s="3">
        <v>4191</v>
      </c>
      <c r="E114" s="3">
        <v>599</v>
      </c>
      <c r="F114" s="3">
        <v>713549</v>
      </c>
      <c r="G114" s="3">
        <v>11.56416728213479</v>
      </c>
      <c r="H114" s="3">
        <v>27833</v>
      </c>
      <c r="I114">
        <v>8251599.9999999972</v>
      </c>
      <c r="J114" s="15">
        <f t="shared" si="3"/>
        <v>6.6411357671200193</v>
      </c>
      <c r="K114" s="15">
        <f t="shared" si="4"/>
        <v>296.46822117630143</v>
      </c>
      <c r="L114">
        <f t="shared" si="5"/>
        <v>3592</v>
      </c>
    </row>
    <row r="115" spans="1:12" ht="14.25" customHeight="1" x14ac:dyDescent="0.35">
      <c r="A115" t="s">
        <v>579</v>
      </c>
      <c r="B115" s="22" t="s">
        <v>89</v>
      </c>
      <c r="C115" s="3" t="s">
        <v>23</v>
      </c>
      <c r="D115" s="3">
        <v>1392</v>
      </c>
      <c r="E115" s="3">
        <v>182</v>
      </c>
      <c r="F115" s="3">
        <v>714759</v>
      </c>
      <c r="G115" s="3">
        <v>5.9603306848881932</v>
      </c>
      <c r="H115" s="3">
        <v>35122</v>
      </c>
      <c r="I115">
        <v>4260200</v>
      </c>
      <c r="J115" s="15">
        <f t="shared" si="3"/>
        <v>25.231321839080461</v>
      </c>
      <c r="K115" s="15">
        <f t="shared" si="4"/>
        <v>121.29719264278799</v>
      </c>
      <c r="L115">
        <f t="shared" si="5"/>
        <v>1210</v>
      </c>
    </row>
    <row r="116" spans="1:12" ht="14.25" customHeight="1" x14ac:dyDescent="0.35">
      <c r="A116" t="s">
        <v>579</v>
      </c>
      <c r="B116" s="22" t="s">
        <v>89</v>
      </c>
      <c r="C116" s="3" t="s">
        <v>19</v>
      </c>
      <c r="D116" s="3">
        <v>9616</v>
      </c>
      <c r="E116" s="3">
        <v>1089</v>
      </c>
      <c r="F116" s="3">
        <v>723286</v>
      </c>
      <c r="G116" s="3">
        <v>19.25863351426683</v>
      </c>
      <c r="H116" s="3">
        <v>15017</v>
      </c>
      <c r="I116">
        <v>13929499.999999998</v>
      </c>
      <c r="J116" s="15">
        <f t="shared" si="3"/>
        <v>1.5616680532445923</v>
      </c>
      <c r="K116" s="15">
        <f t="shared" si="4"/>
        <v>927.58207364986333</v>
      </c>
      <c r="L116">
        <f t="shared" si="5"/>
        <v>8527</v>
      </c>
    </row>
    <row r="117" spans="1:12" ht="14.25" customHeight="1" x14ac:dyDescent="0.35">
      <c r="A117" t="s">
        <v>579</v>
      </c>
      <c r="B117" s="22" t="s">
        <v>89</v>
      </c>
      <c r="C117" s="3" t="s">
        <v>46</v>
      </c>
      <c r="D117" s="3">
        <v>7272</v>
      </c>
      <c r="E117" s="3">
        <v>997</v>
      </c>
      <c r="F117" s="3">
        <v>729561</v>
      </c>
      <c r="G117" s="3">
        <v>13.428486445958599</v>
      </c>
      <c r="H117" s="3">
        <v>26370</v>
      </c>
      <c r="I117">
        <v>9796900.0000000019</v>
      </c>
      <c r="J117" s="15">
        <f t="shared" si="3"/>
        <v>3.6262376237623761</v>
      </c>
      <c r="K117" s="15">
        <f t="shared" si="4"/>
        <v>371.51687523701185</v>
      </c>
      <c r="L117">
        <f t="shared" si="5"/>
        <v>6275</v>
      </c>
    </row>
    <row r="118" spans="1:12" ht="14.25" customHeight="1" x14ac:dyDescent="0.35">
      <c r="A118" t="s">
        <v>579</v>
      </c>
      <c r="B118" s="22" t="s">
        <v>14</v>
      </c>
      <c r="C118" s="3" t="s">
        <v>19</v>
      </c>
      <c r="D118" s="3">
        <v>1571</v>
      </c>
      <c r="E118" s="3">
        <v>204</v>
      </c>
      <c r="F118" s="3">
        <v>730928</v>
      </c>
      <c r="G118" s="3">
        <v>19.449384891535139</v>
      </c>
      <c r="H118" s="3">
        <v>39252</v>
      </c>
      <c r="I118">
        <v>14216099.999999996</v>
      </c>
      <c r="J118" s="15">
        <f t="shared" si="3"/>
        <v>24.985359643539148</v>
      </c>
      <c r="K118" s="15">
        <f t="shared" si="4"/>
        <v>362.17517578722095</v>
      </c>
      <c r="L118">
        <f t="shared" si="5"/>
        <v>1367</v>
      </c>
    </row>
    <row r="119" spans="1:12" ht="14.25" customHeight="1" x14ac:dyDescent="0.35">
      <c r="A119" t="s">
        <v>579</v>
      </c>
      <c r="B119" s="22" t="s">
        <v>14</v>
      </c>
      <c r="C119" s="3" t="s">
        <v>23</v>
      </c>
      <c r="D119" s="3">
        <v>4631</v>
      </c>
      <c r="E119" s="3">
        <v>317</v>
      </c>
      <c r="F119" s="3">
        <v>735242</v>
      </c>
      <c r="G119" s="3">
        <v>1.381177897889402</v>
      </c>
      <c r="H119" s="3">
        <v>17999</v>
      </c>
      <c r="I119">
        <v>1015499.9999999998</v>
      </c>
      <c r="J119" s="15">
        <f t="shared" si="3"/>
        <v>3.8866335564672858</v>
      </c>
      <c r="K119" s="15">
        <f t="shared" si="4"/>
        <v>56.4198011000611</v>
      </c>
      <c r="L119">
        <f t="shared" si="5"/>
        <v>4314</v>
      </c>
    </row>
    <row r="120" spans="1:12" ht="14.25" customHeight="1" x14ac:dyDescent="0.35">
      <c r="A120" t="s">
        <v>579</v>
      </c>
      <c r="B120" s="22" t="s">
        <v>14</v>
      </c>
      <c r="C120" s="3" t="s">
        <v>19</v>
      </c>
      <c r="D120" s="3">
        <v>7172</v>
      </c>
      <c r="E120" s="3">
        <v>998</v>
      </c>
      <c r="F120" s="3">
        <v>741416</v>
      </c>
      <c r="G120" s="3">
        <v>18.0667803230575</v>
      </c>
      <c r="H120" s="3">
        <v>32436</v>
      </c>
      <c r="I120">
        <v>13395000</v>
      </c>
      <c r="J120" s="15">
        <f t="shared" si="3"/>
        <v>4.5225878416062466</v>
      </c>
      <c r="K120" s="15">
        <f t="shared" si="4"/>
        <v>412.96707362190159</v>
      </c>
      <c r="L120">
        <f t="shared" si="5"/>
        <v>6174</v>
      </c>
    </row>
    <row r="121" spans="1:12" ht="14.25" customHeight="1" x14ac:dyDescent="0.35">
      <c r="A121" t="s">
        <v>579</v>
      </c>
      <c r="B121" s="22" t="s">
        <v>14</v>
      </c>
      <c r="C121" s="3" t="s">
        <v>13</v>
      </c>
      <c r="D121" s="3">
        <v>8177</v>
      </c>
      <c r="E121" s="3">
        <v>849</v>
      </c>
      <c r="F121" s="3">
        <v>748744</v>
      </c>
      <c r="G121" s="3">
        <v>10.34986590877523</v>
      </c>
      <c r="H121" s="3">
        <v>52963</v>
      </c>
      <c r="I121">
        <v>7749400.0000000009</v>
      </c>
      <c r="J121" s="15">
        <f t="shared" si="3"/>
        <v>6.4770698300110068</v>
      </c>
      <c r="K121" s="15">
        <f t="shared" si="4"/>
        <v>146.3172403375942</v>
      </c>
      <c r="L121">
        <f t="shared" si="5"/>
        <v>7328</v>
      </c>
    </row>
    <row r="122" spans="1:12" ht="14.25" customHeight="1" x14ac:dyDescent="0.35">
      <c r="A122" t="s">
        <v>579</v>
      </c>
      <c r="B122" s="22" t="s">
        <v>519</v>
      </c>
      <c r="C122" s="3" t="s">
        <v>19</v>
      </c>
      <c r="D122" s="3">
        <v>9433</v>
      </c>
      <c r="E122" s="3">
        <v>1233</v>
      </c>
      <c r="F122" s="3">
        <v>756944</v>
      </c>
      <c r="G122" s="3">
        <v>11.391727789638329</v>
      </c>
      <c r="H122" s="3">
        <v>12096</v>
      </c>
      <c r="I122">
        <v>8622899.9999999963</v>
      </c>
      <c r="J122" s="15">
        <f t="shared" si="3"/>
        <v>1.28230679529312</v>
      </c>
      <c r="K122" s="15">
        <f t="shared" si="4"/>
        <v>712.87202380952351</v>
      </c>
      <c r="L122">
        <f t="shared" si="5"/>
        <v>8200</v>
      </c>
    </row>
    <row r="123" spans="1:12" ht="14.25" customHeight="1" x14ac:dyDescent="0.35">
      <c r="A123" t="s">
        <v>579</v>
      </c>
      <c r="B123" s="22" t="s">
        <v>519</v>
      </c>
      <c r="C123" s="3" t="s">
        <v>23</v>
      </c>
      <c r="D123" s="3">
        <v>4897</v>
      </c>
      <c r="E123" s="3">
        <v>683</v>
      </c>
      <c r="F123" s="3">
        <v>761158</v>
      </c>
      <c r="G123" s="3">
        <v>15.06231294947961</v>
      </c>
      <c r="H123" s="3">
        <v>58201</v>
      </c>
      <c r="I123">
        <v>11464800.000000002</v>
      </c>
      <c r="J123" s="15">
        <f t="shared" si="3"/>
        <v>11.885031652031856</v>
      </c>
      <c r="K123" s="15">
        <f t="shared" si="4"/>
        <v>196.9863060772152</v>
      </c>
      <c r="L123">
        <f t="shared" si="5"/>
        <v>4214</v>
      </c>
    </row>
    <row r="124" spans="1:12" ht="14.25" customHeight="1" x14ac:dyDescent="0.35">
      <c r="A124" t="s">
        <v>579</v>
      </c>
      <c r="B124" s="22" t="s">
        <v>519</v>
      </c>
      <c r="C124" s="3" t="s">
        <v>19</v>
      </c>
      <c r="D124" s="3">
        <v>9123</v>
      </c>
      <c r="E124" s="3">
        <v>746</v>
      </c>
      <c r="F124" s="3">
        <v>769535</v>
      </c>
      <c r="G124" s="3">
        <v>6.3086149427901264</v>
      </c>
      <c r="H124" s="3">
        <v>35279</v>
      </c>
      <c r="I124">
        <v>4854700</v>
      </c>
      <c r="J124" s="15">
        <f t="shared" si="3"/>
        <v>3.86703935109065</v>
      </c>
      <c r="K124" s="15">
        <f t="shared" si="4"/>
        <v>137.60877575895009</v>
      </c>
      <c r="L124">
        <f t="shared" si="5"/>
        <v>8377</v>
      </c>
    </row>
    <row r="125" spans="1:12" ht="14.25" customHeight="1" x14ac:dyDescent="0.35">
      <c r="A125" t="s">
        <v>579</v>
      </c>
      <c r="B125" s="22" t="s">
        <v>519</v>
      </c>
      <c r="C125" s="3" t="s">
        <v>46</v>
      </c>
      <c r="D125" s="3">
        <v>3279</v>
      </c>
      <c r="E125" s="3">
        <v>200</v>
      </c>
      <c r="F125" s="3">
        <v>772614</v>
      </c>
      <c r="G125" s="3">
        <v>5.0212654702089274</v>
      </c>
      <c r="H125" s="3">
        <v>53363</v>
      </c>
      <c r="I125">
        <v>3879500.0000000005</v>
      </c>
      <c r="J125" s="15">
        <f t="shared" si="3"/>
        <v>16.274168953949374</v>
      </c>
      <c r="K125" s="15">
        <f t="shared" si="4"/>
        <v>72.700185521803505</v>
      </c>
      <c r="L125">
        <f t="shared" si="5"/>
        <v>3079</v>
      </c>
    </row>
    <row r="126" spans="1:12" ht="14.25" customHeight="1" x14ac:dyDescent="0.35">
      <c r="A126" t="s">
        <v>580</v>
      </c>
      <c r="B126" s="22" t="s">
        <v>99</v>
      </c>
      <c r="C126" s="3" t="s">
        <v>19</v>
      </c>
      <c r="D126" s="3">
        <v>9980</v>
      </c>
      <c r="E126" s="3">
        <v>726</v>
      </c>
      <c r="F126" s="3">
        <v>781868</v>
      </c>
      <c r="G126" s="3">
        <v>4.0220344099003924</v>
      </c>
      <c r="H126" s="3">
        <v>58709</v>
      </c>
      <c r="I126">
        <v>3144700</v>
      </c>
      <c r="J126" s="15">
        <f t="shared" si="3"/>
        <v>5.8826653306613226</v>
      </c>
      <c r="K126" s="15">
        <f t="shared" si="4"/>
        <v>53.564189476911544</v>
      </c>
      <c r="L126">
        <f t="shared" si="5"/>
        <v>9254</v>
      </c>
    </row>
    <row r="127" spans="1:12" ht="14.25" customHeight="1" x14ac:dyDescent="0.35">
      <c r="A127" t="s">
        <v>580</v>
      </c>
      <c r="B127" s="22" t="s">
        <v>99</v>
      </c>
      <c r="C127" s="3" t="s">
        <v>46</v>
      </c>
      <c r="D127" s="3">
        <v>8451</v>
      </c>
      <c r="E127" s="3">
        <v>783</v>
      </c>
      <c r="F127" s="3">
        <v>789536</v>
      </c>
      <c r="G127" s="3">
        <v>12.407287318121019</v>
      </c>
      <c r="H127" s="3">
        <v>36201</v>
      </c>
      <c r="I127">
        <v>9795999.9999999981</v>
      </c>
      <c r="J127" s="15">
        <f t="shared" si="3"/>
        <v>4.2836350727724533</v>
      </c>
      <c r="K127" s="15">
        <f t="shared" si="4"/>
        <v>270.60025966133526</v>
      </c>
      <c r="L127">
        <f t="shared" si="5"/>
        <v>7668</v>
      </c>
    </row>
    <row r="128" spans="1:12" ht="14.25" customHeight="1" x14ac:dyDescent="0.35">
      <c r="A128" t="s">
        <v>580</v>
      </c>
      <c r="B128" s="22" t="s">
        <v>99</v>
      </c>
      <c r="C128" s="3" t="s">
        <v>13</v>
      </c>
      <c r="D128" s="3">
        <v>9906</v>
      </c>
      <c r="E128" s="3">
        <v>1305</v>
      </c>
      <c r="F128" s="3">
        <v>798137</v>
      </c>
      <c r="G128" s="3">
        <v>9.1811305577864442</v>
      </c>
      <c r="H128" s="3">
        <v>29715</v>
      </c>
      <c r="I128">
        <v>7327799.9999999991</v>
      </c>
      <c r="J128" s="15">
        <f t="shared" si="3"/>
        <v>2.9996971532404602</v>
      </c>
      <c r="K128" s="15">
        <f t="shared" si="4"/>
        <v>246.60272589601209</v>
      </c>
      <c r="L128">
        <f t="shared" si="5"/>
        <v>8601</v>
      </c>
    </row>
    <row r="129" spans="1:12" ht="14.25" customHeight="1" x14ac:dyDescent="0.35">
      <c r="A129" t="s">
        <v>580</v>
      </c>
      <c r="B129" s="22" t="s">
        <v>99</v>
      </c>
      <c r="C129" s="3" t="s">
        <v>46</v>
      </c>
      <c r="D129" s="3">
        <v>1775</v>
      </c>
      <c r="E129" s="3">
        <v>241</v>
      </c>
      <c r="F129" s="3">
        <v>799671</v>
      </c>
      <c r="G129" s="3">
        <v>8.1379717408784362</v>
      </c>
      <c r="H129" s="3">
        <v>39309</v>
      </c>
      <c r="I129">
        <v>6507700</v>
      </c>
      <c r="J129" s="15">
        <f t="shared" si="3"/>
        <v>22.145915492957748</v>
      </c>
      <c r="K129" s="15">
        <f t="shared" si="4"/>
        <v>165.55241802131826</v>
      </c>
      <c r="L129">
        <f t="shared" si="5"/>
        <v>1534</v>
      </c>
    </row>
    <row r="130" spans="1:12" ht="14.25" customHeight="1" x14ac:dyDescent="0.35">
      <c r="A130" t="s">
        <v>580</v>
      </c>
      <c r="B130" s="22" t="s">
        <v>520</v>
      </c>
      <c r="C130" s="3" t="s">
        <v>19</v>
      </c>
      <c r="D130" s="3">
        <v>7869</v>
      </c>
      <c r="E130" s="3">
        <v>398</v>
      </c>
      <c r="F130" s="3">
        <v>807142</v>
      </c>
      <c r="G130" s="3">
        <v>15.211945357818079</v>
      </c>
      <c r="H130" s="3">
        <v>25078</v>
      </c>
      <c r="I130">
        <v>12278200</v>
      </c>
      <c r="J130" s="15">
        <f t="shared" si="3"/>
        <v>3.1869360782818656</v>
      </c>
      <c r="K130" s="15">
        <f t="shared" si="4"/>
        <v>489.60044660658747</v>
      </c>
      <c r="L130">
        <f t="shared" si="5"/>
        <v>7471</v>
      </c>
    </row>
    <row r="131" spans="1:12" ht="14.25" customHeight="1" x14ac:dyDescent="0.35">
      <c r="A131" t="s">
        <v>580</v>
      </c>
      <c r="B131" s="22" t="s">
        <v>520</v>
      </c>
      <c r="C131" s="3" t="s">
        <v>23</v>
      </c>
      <c r="D131" s="3">
        <v>3247</v>
      </c>
      <c r="E131" s="3">
        <v>328</v>
      </c>
      <c r="F131" s="3">
        <v>810061</v>
      </c>
      <c r="G131" s="3">
        <v>13.941172331466399</v>
      </c>
      <c r="H131" s="3">
        <v>15105</v>
      </c>
      <c r="I131">
        <v>11293200.000000002</v>
      </c>
      <c r="J131" s="15">
        <f t="shared" ref="J131:J194" si="6">H131/D131</f>
        <v>4.6519864490298737</v>
      </c>
      <c r="K131" s="15">
        <f t="shared" ref="K131:K194" si="7">I131/H131</f>
        <v>747.64647467725933</v>
      </c>
      <c r="L131">
        <f t="shared" ref="L131:L194" si="8">D131-E131</f>
        <v>2919</v>
      </c>
    </row>
    <row r="132" spans="1:12" ht="14.25" customHeight="1" x14ac:dyDescent="0.35">
      <c r="A132" t="s">
        <v>580</v>
      </c>
      <c r="B132" s="22" t="s">
        <v>520</v>
      </c>
      <c r="C132" s="3" t="s">
        <v>46</v>
      </c>
      <c r="D132" s="3">
        <v>8088</v>
      </c>
      <c r="E132" s="3">
        <v>742</v>
      </c>
      <c r="F132" s="3">
        <v>817407</v>
      </c>
      <c r="G132" s="3">
        <v>14.664542877660701</v>
      </c>
      <c r="H132" s="3">
        <v>39312</v>
      </c>
      <c r="I132">
        <v>11986900</v>
      </c>
      <c r="J132" s="15">
        <f t="shared" si="6"/>
        <v>4.8605341246290799</v>
      </c>
      <c r="K132" s="15">
        <f t="shared" si="7"/>
        <v>304.91707366707368</v>
      </c>
      <c r="L132">
        <f t="shared" si="8"/>
        <v>7346</v>
      </c>
    </row>
    <row r="133" spans="1:12" ht="14.25" customHeight="1" x14ac:dyDescent="0.35">
      <c r="A133" t="s">
        <v>580</v>
      </c>
      <c r="B133" s="22" t="s">
        <v>520</v>
      </c>
      <c r="C133" s="3" t="s">
        <v>13</v>
      </c>
      <c r="D133" s="3">
        <v>1078</v>
      </c>
      <c r="E133" s="3">
        <v>77</v>
      </c>
      <c r="F133" s="3">
        <v>818408</v>
      </c>
      <c r="G133" s="3">
        <v>18.236747441373989</v>
      </c>
      <c r="H133" s="3">
        <v>12839</v>
      </c>
      <c r="I133">
        <v>14925100.000000004</v>
      </c>
      <c r="J133" s="15">
        <f t="shared" si="6"/>
        <v>11.910018552875696</v>
      </c>
      <c r="K133" s="15">
        <f t="shared" si="7"/>
        <v>1162.4815016745856</v>
      </c>
      <c r="L133">
        <f t="shared" si="8"/>
        <v>1001</v>
      </c>
    </row>
    <row r="134" spans="1:12" ht="14.25" customHeight="1" x14ac:dyDescent="0.35">
      <c r="A134" t="s">
        <v>580</v>
      </c>
      <c r="B134" s="22" t="s">
        <v>521</v>
      </c>
      <c r="C134" s="3" t="s">
        <v>46</v>
      </c>
      <c r="D134" s="3">
        <v>9080</v>
      </c>
      <c r="E134" s="3">
        <v>562</v>
      </c>
      <c r="F134" s="3">
        <v>826926</v>
      </c>
      <c r="G134" s="3">
        <v>7.1083748727213809</v>
      </c>
      <c r="H134" s="3">
        <v>13384</v>
      </c>
      <c r="I134">
        <v>5878100.0000000009</v>
      </c>
      <c r="J134" s="15">
        <f t="shared" si="6"/>
        <v>1.4740088105726872</v>
      </c>
      <c r="K134" s="15">
        <f t="shared" si="7"/>
        <v>439.18858338314413</v>
      </c>
      <c r="L134">
        <f t="shared" si="8"/>
        <v>8518</v>
      </c>
    </row>
    <row r="135" spans="1:12" ht="14.25" customHeight="1" x14ac:dyDescent="0.35">
      <c r="A135" t="s">
        <v>580</v>
      </c>
      <c r="B135" s="22" t="s">
        <v>521</v>
      </c>
      <c r="C135" s="3" t="s">
        <v>46</v>
      </c>
      <c r="D135" s="3">
        <v>8099</v>
      </c>
      <c r="E135" s="3">
        <v>678</v>
      </c>
      <c r="F135" s="3">
        <v>834347</v>
      </c>
      <c r="G135" s="3">
        <v>7.6464588474579518</v>
      </c>
      <c r="H135" s="3">
        <v>53619</v>
      </c>
      <c r="I135">
        <v>6379800</v>
      </c>
      <c r="J135" s="15">
        <f t="shared" si="6"/>
        <v>6.6204469687615752</v>
      </c>
      <c r="K135" s="15">
        <f t="shared" si="7"/>
        <v>118.98394225927376</v>
      </c>
      <c r="L135">
        <f t="shared" si="8"/>
        <v>7421</v>
      </c>
    </row>
    <row r="136" spans="1:12" ht="14.25" customHeight="1" x14ac:dyDescent="0.35">
      <c r="A136" t="s">
        <v>580</v>
      </c>
      <c r="B136" s="22" t="s">
        <v>521</v>
      </c>
      <c r="C136" s="3" t="s">
        <v>46</v>
      </c>
      <c r="D136" s="3">
        <v>4926</v>
      </c>
      <c r="E136" s="3">
        <v>710</v>
      </c>
      <c r="F136" s="3">
        <v>838563</v>
      </c>
      <c r="G136" s="3">
        <v>12.96217457722318</v>
      </c>
      <c r="H136" s="3">
        <v>52821</v>
      </c>
      <c r="I136">
        <v>10869600.000000002</v>
      </c>
      <c r="J136" s="15">
        <f t="shared" si="6"/>
        <v>10.722898903775883</v>
      </c>
      <c r="K136" s="15">
        <f t="shared" si="7"/>
        <v>205.78179133299258</v>
      </c>
      <c r="L136">
        <f t="shared" si="8"/>
        <v>4216</v>
      </c>
    </row>
    <row r="137" spans="1:12" ht="14.25" customHeight="1" x14ac:dyDescent="0.35">
      <c r="A137" t="s">
        <v>580</v>
      </c>
      <c r="B137" s="22" t="s">
        <v>521</v>
      </c>
      <c r="C137" s="3" t="s">
        <v>13</v>
      </c>
      <c r="D137" s="3">
        <v>8340</v>
      </c>
      <c r="E137" s="3">
        <v>686</v>
      </c>
      <c r="F137" s="3">
        <v>846217</v>
      </c>
      <c r="G137" s="3">
        <v>7.201344336027284</v>
      </c>
      <c r="H137" s="3">
        <v>23493</v>
      </c>
      <c r="I137">
        <v>6093900</v>
      </c>
      <c r="J137" s="15">
        <f t="shared" si="6"/>
        <v>2.816906474820144</v>
      </c>
      <c r="K137" s="15">
        <f t="shared" si="7"/>
        <v>259.39215936661986</v>
      </c>
      <c r="L137">
        <f t="shared" si="8"/>
        <v>7654</v>
      </c>
    </row>
    <row r="138" spans="1:12" ht="14.25" customHeight="1" x14ac:dyDescent="0.35">
      <c r="A138" t="s">
        <v>580</v>
      </c>
      <c r="B138" s="22" t="s">
        <v>181</v>
      </c>
      <c r="C138" s="3" t="s">
        <v>19</v>
      </c>
      <c r="D138" s="3">
        <v>8083</v>
      </c>
      <c r="E138" s="3">
        <v>823</v>
      </c>
      <c r="F138" s="3">
        <v>853477</v>
      </c>
      <c r="G138" s="3">
        <v>4.6300017457998282</v>
      </c>
      <c r="H138" s="3">
        <v>27069</v>
      </c>
      <c r="I138">
        <v>3951600</v>
      </c>
      <c r="J138" s="15">
        <f t="shared" si="6"/>
        <v>3.3488803662006679</v>
      </c>
      <c r="K138" s="15">
        <f t="shared" si="7"/>
        <v>145.98248919428127</v>
      </c>
      <c r="L138">
        <f t="shared" si="8"/>
        <v>7260</v>
      </c>
    </row>
    <row r="139" spans="1:12" ht="14.25" customHeight="1" x14ac:dyDescent="0.35">
      <c r="A139" t="s">
        <v>580</v>
      </c>
      <c r="B139" s="22" t="s">
        <v>181</v>
      </c>
      <c r="C139" s="3" t="s">
        <v>46</v>
      </c>
      <c r="D139" s="3">
        <v>7230</v>
      </c>
      <c r="E139" s="3">
        <v>869</v>
      </c>
      <c r="F139" s="3">
        <v>859838</v>
      </c>
      <c r="G139" s="3">
        <v>7.0117859410726204</v>
      </c>
      <c r="H139" s="3">
        <v>56907</v>
      </c>
      <c r="I139">
        <v>6029000</v>
      </c>
      <c r="J139" s="15">
        <f t="shared" si="6"/>
        <v>7.8709543568464726</v>
      </c>
      <c r="K139" s="15">
        <f t="shared" si="7"/>
        <v>105.94478710879153</v>
      </c>
      <c r="L139">
        <f t="shared" si="8"/>
        <v>6361</v>
      </c>
    </row>
    <row r="140" spans="1:12" ht="14.25" customHeight="1" x14ac:dyDescent="0.35">
      <c r="A140" t="s">
        <v>580</v>
      </c>
      <c r="B140" s="22" t="s">
        <v>181</v>
      </c>
      <c r="C140" s="3" t="s">
        <v>46</v>
      </c>
      <c r="D140" s="3">
        <v>5940</v>
      </c>
      <c r="E140" s="3">
        <v>512</v>
      </c>
      <c r="F140" s="3">
        <v>865266</v>
      </c>
      <c r="G140" s="3">
        <v>15.7972230504839</v>
      </c>
      <c r="H140" s="3">
        <v>17531</v>
      </c>
      <c r="I140">
        <v>13668800.000000002</v>
      </c>
      <c r="J140" s="15">
        <f t="shared" si="6"/>
        <v>2.9513468013468014</v>
      </c>
      <c r="K140" s="15">
        <f t="shared" si="7"/>
        <v>779.69311505333417</v>
      </c>
      <c r="L140">
        <f t="shared" si="8"/>
        <v>5428</v>
      </c>
    </row>
    <row r="141" spans="1:12" ht="14.25" customHeight="1" x14ac:dyDescent="0.35">
      <c r="A141" t="s">
        <v>580</v>
      </c>
      <c r="B141" s="22" t="s">
        <v>181</v>
      </c>
      <c r="C141" s="3" t="s">
        <v>23</v>
      </c>
      <c r="D141" s="3">
        <v>4271</v>
      </c>
      <c r="E141" s="3">
        <v>628</v>
      </c>
      <c r="F141" s="3">
        <v>868909</v>
      </c>
      <c r="G141" s="3">
        <v>11.124410036033691</v>
      </c>
      <c r="H141" s="3">
        <v>47051</v>
      </c>
      <c r="I141">
        <v>9666099.9999999981</v>
      </c>
      <c r="J141" s="15">
        <f t="shared" si="6"/>
        <v>11.016389604308124</v>
      </c>
      <c r="K141" s="15">
        <f t="shared" si="7"/>
        <v>205.43877919704147</v>
      </c>
      <c r="L141">
        <f t="shared" si="8"/>
        <v>3643</v>
      </c>
    </row>
    <row r="142" spans="1:12" ht="14.25" customHeight="1" x14ac:dyDescent="0.35">
      <c r="A142" t="s">
        <v>581</v>
      </c>
      <c r="B142" s="22" t="s">
        <v>522</v>
      </c>
      <c r="C142" s="3" t="s">
        <v>13</v>
      </c>
      <c r="D142" s="3">
        <v>4456</v>
      </c>
      <c r="E142" s="3">
        <v>651</v>
      </c>
      <c r="F142" s="3">
        <v>872714</v>
      </c>
      <c r="G142" s="3">
        <v>9.5052903929580594</v>
      </c>
      <c r="H142" s="3">
        <v>17736</v>
      </c>
      <c r="I142">
        <v>8295400</v>
      </c>
      <c r="J142" s="15">
        <f t="shared" si="6"/>
        <v>3.9802513464991023</v>
      </c>
      <c r="K142" s="15">
        <f t="shared" si="7"/>
        <v>467.71538114569239</v>
      </c>
      <c r="L142">
        <f t="shared" si="8"/>
        <v>3805</v>
      </c>
    </row>
    <row r="143" spans="1:12" ht="14.25" customHeight="1" x14ac:dyDescent="0.35">
      <c r="A143" t="s">
        <v>581</v>
      </c>
      <c r="B143" s="22" t="s">
        <v>522</v>
      </c>
      <c r="C143" s="3" t="s">
        <v>46</v>
      </c>
      <c r="D143" s="3">
        <v>8788</v>
      </c>
      <c r="E143" s="3">
        <v>660</v>
      </c>
      <c r="F143" s="3">
        <v>880842</v>
      </c>
      <c r="G143" s="3">
        <v>3.7175793161543158</v>
      </c>
      <c r="H143" s="3">
        <v>17710</v>
      </c>
      <c r="I143">
        <v>3274600</v>
      </c>
      <c r="J143" s="15">
        <f t="shared" si="6"/>
        <v>2.0152480655439233</v>
      </c>
      <c r="K143" s="15">
        <f t="shared" si="7"/>
        <v>184.901185770751</v>
      </c>
      <c r="L143">
        <f t="shared" si="8"/>
        <v>8128</v>
      </c>
    </row>
    <row r="144" spans="1:12" ht="14.25" customHeight="1" x14ac:dyDescent="0.35">
      <c r="A144" t="s">
        <v>581</v>
      </c>
      <c r="B144" s="22" t="s">
        <v>522</v>
      </c>
      <c r="C144" s="3" t="s">
        <v>13</v>
      </c>
      <c r="D144" s="3">
        <v>9599</v>
      </c>
      <c r="E144" s="3">
        <v>957</v>
      </c>
      <c r="F144" s="3">
        <v>889484</v>
      </c>
      <c r="G144" s="3">
        <v>8.768004820772493</v>
      </c>
      <c r="H144" s="3">
        <v>11619</v>
      </c>
      <c r="I144">
        <v>7799000</v>
      </c>
      <c r="J144" s="15">
        <f t="shared" si="6"/>
        <v>1.2104385873528491</v>
      </c>
      <c r="K144" s="15">
        <f t="shared" si="7"/>
        <v>671.22816077115067</v>
      </c>
      <c r="L144">
        <f t="shared" si="8"/>
        <v>8642</v>
      </c>
    </row>
    <row r="145" spans="1:12" ht="14.25" customHeight="1" x14ac:dyDescent="0.35">
      <c r="A145" t="s">
        <v>581</v>
      </c>
      <c r="B145" s="22" t="s">
        <v>522</v>
      </c>
      <c r="C145" s="3" t="s">
        <v>46</v>
      </c>
      <c r="D145" s="3">
        <v>8650</v>
      </c>
      <c r="E145" s="3">
        <v>692</v>
      </c>
      <c r="F145" s="3">
        <v>897442</v>
      </c>
      <c r="G145" s="3">
        <v>7.6673478620345374</v>
      </c>
      <c r="H145" s="3">
        <v>23975</v>
      </c>
      <c r="I145">
        <v>6880999.9999999991</v>
      </c>
      <c r="J145" s="15">
        <f t="shared" si="6"/>
        <v>2.7716763005780347</v>
      </c>
      <c r="K145" s="15">
        <f t="shared" si="7"/>
        <v>287.00729927007296</v>
      </c>
      <c r="L145">
        <f t="shared" si="8"/>
        <v>7958</v>
      </c>
    </row>
    <row r="146" spans="1:12" ht="14.25" customHeight="1" x14ac:dyDescent="0.35">
      <c r="A146" t="s">
        <v>581</v>
      </c>
      <c r="B146" s="22" t="s">
        <v>439</v>
      </c>
      <c r="C146" s="3" t="s">
        <v>19</v>
      </c>
      <c r="D146" s="3">
        <v>3711</v>
      </c>
      <c r="E146" s="3">
        <v>291</v>
      </c>
      <c r="F146" s="3">
        <v>900862</v>
      </c>
      <c r="G146" s="3">
        <v>14.24879726306582</v>
      </c>
      <c r="H146" s="3">
        <v>55603</v>
      </c>
      <c r="I146">
        <v>12836200</v>
      </c>
      <c r="J146" s="15">
        <f t="shared" si="6"/>
        <v>14.983292912961465</v>
      </c>
      <c r="K146" s="15">
        <f t="shared" si="7"/>
        <v>230.85445029944427</v>
      </c>
      <c r="L146">
        <f t="shared" si="8"/>
        <v>3420</v>
      </c>
    </row>
    <row r="147" spans="1:12" ht="14.25" customHeight="1" x14ac:dyDescent="0.35">
      <c r="A147" t="s">
        <v>581</v>
      </c>
      <c r="B147" s="22" t="s">
        <v>439</v>
      </c>
      <c r="C147" s="3" t="s">
        <v>19</v>
      </c>
      <c r="D147" s="3">
        <v>2668</v>
      </c>
      <c r="E147" s="3">
        <v>143</v>
      </c>
      <c r="F147" s="3">
        <v>903387</v>
      </c>
      <c r="G147" s="3">
        <v>15.903372530266649</v>
      </c>
      <c r="H147" s="3">
        <v>33252</v>
      </c>
      <c r="I147">
        <v>14366899.999999998</v>
      </c>
      <c r="J147" s="15">
        <f t="shared" si="6"/>
        <v>12.463268365817092</v>
      </c>
      <c r="K147" s="15">
        <f t="shared" si="7"/>
        <v>432.06122939973528</v>
      </c>
      <c r="L147">
        <f t="shared" si="8"/>
        <v>2525</v>
      </c>
    </row>
    <row r="148" spans="1:12" ht="14.25" customHeight="1" x14ac:dyDescent="0.35">
      <c r="A148" t="s">
        <v>581</v>
      </c>
      <c r="B148" s="22" t="s">
        <v>439</v>
      </c>
      <c r="C148" s="3" t="s">
        <v>46</v>
      </c>
      <c r="D148" s="3">
        <v>1147</v>
      </c>
      <c r="E148" s="3">
        <v>127</v>
      </c>
      <c r="F148" s="3">
        <v>904407</v>
      </c>
      <c r="G148" s="3">
        <v>1.3997016829812241</v>
      </c>
      <c r="H148" s="3">
        <v>25261</v>
      </c>
      <c r="I148">
        <v>1265900</v>
      </c>
      <c r="J148" s="15">
        <f t="shared" si="6"/>
        <v>22.023539668700959</v>
      </c>
      <c r="K148" s="15">
        <f t="shared" si="7"/>
        <v>50.112822136890863</v>
      </c>
      <c r="L148">
        <f t="shared" si="8"/>
        <v>1020</v>
      </c>
    </row>
    <row r="149" spans="1:12" ht="14.25" customHeight="1" x14ac:dyDescent="0.35">
      <c r="A149" t="s">
        <v>581</v>
      </c>
      <c r="B149" s="22" t="s">
        <v>439</v>
      </c>
      <c r="C149" s="3" t="s">
        <v>19</v>
      </c>
      <c r="D149" s="3">
        <v>7420</v>
      </c>
      <c r="E149" s="3">
        <v>743</v>
      </c>
      <c r="F149" s="3">
        <v>911084</v>
      </c>
      <c r="G149" s="3">
        <v>10.593534734448189</v>
      </c>
      <c r="H149" s="3">
        <v>11431</v>
      </c>
      <c r="I149">
        <v>9651599.9999999944</v>
      </c>
      <c r="J149" s="15">
        <f t="shared" si="6"/>
        <v>1.540566037735849</v>
      </c>
      <c r="K149" s="15">
        <f t="shared" si="7"/>
        <v>844.33557868952801</v>
      </c>
      <c r="L149">
        <f t="shared" si="8"/>
        <v>6677</v>
      </c>
    </row>
    <row r="150" spans="1:12" ht="14.25" customHeight="1" x14ac:dyDescent="0.35">
      <c r="A150" t="s">
        <v>581</v>
      </c>
      <c r="B150" s="22" t="s">
        <v>101</v>
      </c>
      <c r="C150" s="3" t="s">
        <v>46</v>
      </c>
      <c r="D150" s="3">
        <v>1365</v>
      </c>
      <c r="E150" s="3">
        <v>75</v>
      </c>
      <c r="F150" s="3">
        <v>912374</v>
      </c>
      <c r="G150" s="3">
        <v>9.2688963078737441</v>
      </c>
      <c r="H150" s="3">
        <v>19067</v>
      </c>
      <c r="I150">
        <v>8456700</v>
      </c>
      <c r="J150" s="15">
        <f t="shared" si="6"/>
        <v>13.968498168498169</v>
      </c>
      <c r="K150" s="15">
        <f t="shared" si="7"/>
        <v>443.52546284155869</v>
      </c>
      <c r="L150">
        <f t="shared" si="8"/>
        <v>1290</v>
      </c>
    </row>
    <row r="151" spans="1:12" ht="14.25" customHeight="1" x14ac:dyDescent="0.35">
      <c r="A151" t="s">
        <v>581</v>
      </c>
      <c r="B151" s="22" t="s">
        <v>101</v>
      </c>
      <c r="C151" s="3" t="s">
        <v>19</v>
      </c>
      <c r="D151" s="3">
        <v>5531</v>
      </c>
      <c r="E151" s="3">
        <v>430</v>
      </c>
      <c r="F151" s="3">
        <v>917475</v>
      </c>
      <c r="G151" s="3">
        <v>2.7289026948963189</v>
      </c>
      <c r="H151" s="3">
        <v>47481</v>
      </c>
      <c r="I151">
        <v>2503700</v>
      </c>
      <c r="J151" s="15">
        <f t="shared" si="6"/>
        <v>8.5845235942867468</v>
      </c>
      <c r="K151" s="15">
        <f t="shared" si="7"/>
        <v>52.730565910574754</v>
      </c>
      <c r="L151">
        <f t="shared" si="8"/>
        <v>5101</v>
      </c>
    </row>
    <row r="152" spans="1:12" ht="14.25" customHeight="1" x14ac:dyDescent="0.35">
      <c r="A152" t="s">
        <v>581</v>
      </c>
      <c r="B152" s="22" t="s">
        <v>101</v>
      </c>
      <c r="C152" s="3" t="s">
        <v>23</v>
      </c>
      <c r="D152" s="3">
        <v>6330</v>
      </c>
      <c r="E152" s="3">
        <v>891</v>
      </c>
      <c r="F152" s="3">
        <v>922914</v>
      </c>
      <c r="G152" s="3">
        <v>14.789893749580139</v>
      </c>
      <c r="H152" s="3">
        <v>37037</v>
      </c>
      <c r="I152">
        <v>13649800.000000006</v>
      </c>
      <c r="J152" s="15">
        <f t="shared" si="6"/>
        <v>5.851026856240126</v>
      </c>
      <c r="K152" s="15">
        <f t="shared" si="7"/>
        <v>368.5449685449687</v>
      </c>
      <c r="L152">
        <f t="shared" si="8"/>
        <v>5439</v>
      </c>
    </row>
    <row r="153" spans="1:12" ht="14.25" customHeight="1" x14ac:dyDescent="0.35">
      <c r="A153" t="s">
        <v>581</v>
      </c>
      <c r="B153" s="22" t="s">
        <v>101</v>
      </c>
      <c r="C153" s="3" t="s">
        <v>23</v>
      </c>
      <c r="D153" s="3">
        <v>6510</v>
      </c>
      <c r="E153" s="3">
        <v>481</v>
      </c>
      <c r="F153" s="3">
        <v>928943</v>
      </c>
      <c r="G153" s="3">
        <v>2.3800168578696428</v>
      </c>
      <c r="H153" s="3">
        <v>19557</v>
      </c>
      <c r="I153">
        <v>2210899.9999999995</v>
      </c>
      <c r="J153" s="15">
        <f t="shared" si="6"/>
        <v>3.004147465437788</v>
      </c>
      <c r="K153" s="15">
        <f t="shared" si="7"/>
        <v>113.04903615073884</v>
      </c>
      <c r="L153">
        <f t="shared" si="8"/>
        <v>6029</v>
      </c>
    </row>
    <row r="154" spans="1:12" ht="14.25" customHeight="1" x14ac:dyDescent="0.35">
      <c r="A154" t="s">
        <v>581</v>
      </c>
      <c r="B154" s="22" t="s">
        <v>114</v>
      </c>
      <c r="C154" s="3" t="s">
        <v>23</v>
      </c>
      <c r="D154" s="3">
        <v>9754</v>
      </c>
      <c r="E154" s="3">
        <v>629</v>
      </c>
      <c r="F154" s="3">
        <v>938068</v>
      </c>
      <c r="G154" s="3">
        <v>3.4123325814333292</v>
      </c>
      <c r="H154" s="3">
        <v>19435</v>
      </c>
      <c r="I154">
        <v>3201000.0000000005</v>
      </c>
      <c r="J154" s="15">
        <f t="shared" si="6"/>
        <v>1.992515890916547</v>
      </c>
      <c r="K154" s="15">
        <f t="shared" si="7"/>
        <v>164.70285567275536</v>
      </c>
      <c r="L154">
        <f t="shared" si="8"/>
        <v>9125</v>
      </c>
    </row>
    <row r="155" spans="1:12" ht="14.25" customHeight="1" x14ac:dyDescent="0.35">
      <c r="A155" t="s">
        <v>581</v>
      </c>
      <c r="B155" s="22" t="s">
        <v>114</v>
      </c>
      <c r="C155" s="3" t="s">
        <v>13</v>
      </c>
      <c r="D155" s="3">
        <v>9964</v>
      </c>
      <c r="E155" s="3">
        <v>985</v>
      </c>
      <c r="F155" s="3">
        <v>947047</v>
      </c>
      <c r="G155" s="3">
        <v>1.9837452629066989</v>
      </c>
      <c r="H155" s="3">
        <v>47766</v>
      </c>
      <c r="I155">
        <v>1878700.0000000005</v>
      </c>
      <c r="J155" s="15">
        <f t="shared" si="6"/>
        <v>4.7938578883982332</v>
      </c>
      <c r="K155" s="15">
        <f t="shared" si="7"/>
        <v>39.33132353556924</v>
      </c>
      <c r="L155">
        <f t="shared" si="8"/>
        <v>8979</v>
      </c>
    </row>
    <row r="156" spans="1:12" ht="14.25" customHeight="1" x14ac:dyDescent="0.35">
      <c r="A156" t="s">
        <v>581</v>
      </c>
      <c r="B156" s="22" t="s">
        <v>114</v>
      </c>
      <c r="C156" s="3" t="s">
        <v>13</v>
      </c>
      <c r="D156" s="3">
        <v>7493</v>
      </c>
      <c r="E156" s="3">
        <v>1113</v>
      </c>
      <c r="F156" s="3">
        <v>953427</v>
      </c>
      <c r="G156" s="3">
        <v>15.684892498324469</v>
      </c>
      <c r="H156" s="3">
        <v>10162</v>
      </c>
      <c r="I156">
        <v>14954400.000000004</v>
      </c>
      <c r="J156" s="15">
        <f t="shared" si="6"/>
        <v>1.3561991191778995</v>
      </c>
      <c r="K156" s="15">
        <f t="shared" si="7"/>
        <v>1471.6000787246608</v>
      </c>
      <c r="L156">
        <f t="shared" si="8"/>
        <v>6380</v>
      </c>
    </row>
    <row r="157" spans="1:12" ht="14.25" customHeight="1" x14ac:dyDescent="0.35">
      <c r="A157" t="s">
        <v>581</v>
      </c>
      <c r="B157" s="22" t="s">
        <v>114</v>
      </c>
      <c r="C157" s="3" t="s">
        <v>23</v>
      </c>
      <c r="D157" s="3">
        <v>6439</v>
      </c>
      <c r="E157" s="3">
        <v>477</v>
      </c>
      <c r="F157" s="3">
        <v>959389</v>
      </c>
      <c r="G157" s="3">
        <v>7.4744446725989153</v>
      </c>
      <c r="H157" s="3">
        <v>44742</v>
      </c>
      <c r="I157">
        <v>7170900.0000000009</v>
      </c>
      <c r="J157" s="15">
        <f t="shared" si="6"/>
        <v>6.9485945022519022</v>
      </c>
      <c r="K157" s="15">
        <f t="shared" si="7"/>
        <v>160.27222743730724</v>
      </c>
      <c r="L157">
        <f t="shared" si="8"/>
        <v>5962</v>
      </c>
    </row>
    <row r="158" spans="1:12" ht="14.25" customHeight="1" x14ac:dyDescent="0.35">
      <c r="A158" t="s">
        <v>582</v>
      </c>
      <c r="B158" s="22" t="s">
        <v>158</v>
      </c>
      <c r="C158" s="3" t="s">
        <v>13</v>
      </c>
      <c r="D158" s="3">
        <v>7511</v>
      </c>
      <c r="E158" s="3">
        <v>880</v>
      </c>
      <c r="F158" s="3">
        <v>966020</v>
      </c>
      <c r="G158" s="3">
        <v>4.6083932009689246</v>
      </c>
      <c r="H158" s="3">
        <v>29675</v>
      </c>
      <c r="I158">
        <v>4451800.0000000009</v>
      </c>
      <c r="J158" s="15">
        <f t="shared" si="6"/>
        <v>3.9508720543203304</v>
      </c>
      <c r="K158" s="15">
        <f t="shared" si="7"/>
        <v>150.01853411962935</v>
      </c>
      <c r="L158">
        <f t="shared" si="8"/>
        <v>6631</v>
      </c>
    </row>
    <row r="159" spans="1:12" ht="14.25" customHeight="1" x14ac:dyDescent="0.35">
      <c r="A159" t="s">
        <v>582</v>
      </c>
      <c r="B159" s="22" t="s">
        <v>158</v>
      </c>
      <c r="C159" s="3" t="s">
        <v>19</v>
      </c>
      <c r="D159" s="3">
        <v>8504</v>
      </c>
      <c r="E159" s="3">
        <v>1072</v>
      </c>
      <c r="F159" s="3">
        <v>973452</v>
      </c>
      <c r="G159" s="3">
        <v>6.5651927367759271</v>
      </c>
      <c r="H159" s="3">
        <v>18461</v>
      </c>
      <c r="I159">
        <v>6390900</v>
      </c>
      <c r="J159" s="15">
        <f t="shared" si="6"/>
        <v>2.1708607714016934</v>
      </c>
      <c r="K159" s="15">
        <f t="shared" si="7"/>
        <v>346.1838470288717</v>
      </c>
      <c r="L159">
        <f t="shared" si="8"/>
        <v>7432</v>
      </c>
    </row>
    <row r="160" spans="1:12" ht="14.25" customHeight="1" x14ac:dyDescent="0.35">
      <c r="A160" t="s">
        <v>582</v>
      </c>
      <c r="B160" s="22" t="s">
        <v>158</v>
      </c>
      <c r="C160" s="3" t="s">
        <v>46</v>
      </c>
      <c r="D160" s="3">
        <v>2246</v>
      </c>
      <c r="E160" s="3">
        <v>165</v>
      </c>
      <c r="F160" s="3">
        <v>975533</v>
      </c>
      <c r="G160" s="3">
        <v>2.9062061457685191</v>
      </c>
      <c r="H160" s="3">
        <v>27015</v>
      </c>
      <c r="I160">
        <v>2835100.0000000009</v>
      </c>
      <c r="J160" s="15">
        <f t="shared" si="6"/>
        <v>12.028049866429207</v>
      </c>
      <c r="K160" s="15">
        <f t="shared" si="7"/>
        <v>104.94540070331301</v>
      </c>
      <c r="L160">
        <f t="shared" si="8"/>
        <v>2081</v>
      </c>
    </row>
    <row r="161" spans="1:12" ht="14.25" customHeight="1" x14ac:dyDescent="0.35">
      <c r="A161" t="s">
        <v>582</v>
      </c>
      <c r="B161" s="22" t="s">
        <v>158</v>
      </c>
      <c r="C161" s="3" t="s">
        <v>46</v>
      </c>
      <c r="D161" s="3">
        <v>4839</v>
      </c>
      <c r="E161" s="3">
        <v>594</v>
      </c>
      <c r="F161" s="3">
        <v>979778</v>
      </c>
      <c r="G161" s="3">
        <v>2.5803804535313102</v>
      </c>
      <c r="H161" s="3">
        <v>42591</v>
      </c>
      <c r="I161">
        <v>2528200</v>
      </c>
      <c r="J161" s="15">
        <f t="shared" si="6"/>
        <v>8.8016119032858029</v>
      </c>
      <c r="K161" s="15">
        <f t="shared" si="7"/>
        <v>59.359958676715735</v>
      </c>
      <c r="L161">
        <f t="shared" si="8"/>
        <v>4245</v>
      </c>
    </row>
    <row r="162" spans="1:12" ht="14.25" customHeight="1" x14ac:dyDescent="0.35">
      <c r="A162" t="s">
        <v>582</v>
      </c>
      <c r="B162" s="22" t="s">
        <v>523</v>
      </c>
      <c r="C162" s="3" t="s">
        <v>46</v>
      </c>
      <c r="D162" s="3">
        <v>9551</v>
      </c>
      <c r="E162" s="3">
        <v>828</v>
      </c>
      <c r="F162" s="3">
        <v>988501</v>
      </c>
      <c r="G162" s="3">
        <v>1.525036393488727</v>
      </c>
      <c r="H162" s="3">
        <v>38047</v>
      </c>
      <c r="I162">
        <v>1507500.0000000002</v>
      </c>
      <c r="J162" s="15">
        <f t="shared" si="6"/>
        <v>3.9835619306878862</v>
      </c>
      <c r="K162" s="15">
        <f t="shared" si="7"/>
        <v>39.622046416274614</v>
      </c>
      <c r="L162">
        <f t="shared" si="8"/>
        <v>8723</v>
      </c>
    </row>
    <row r="163" spans="1:12" ht="14.25" customHeight="1" x14ac:dyDescent="0.35">
      <c r="A163" t="s">
        <v>582</v>
      </c>
      <c r="B163" s="22" t="s">
        <v>523</v>
      </c>
      <c r="C163" s="3" t="s">
        <v>23</v>
      </c>
      <c r="D163" s="3">
        <v>3376</v>
      </c>
      <c r="E163" s="3">
        <v>382</v>
      </c>
      <c r="F163" s="3">
        <v>991495</v>
      </c>
      <c r="G163" s="3">
        <v>3.8694093263203548</v>
      </c>
      <c r="H163" s="3">
        <v>44782</v>
      </c>
      <c r="I163">
        <v>3836500</v>
      </c>
      <c r="J163" s="15">
        <f t="shared" si="6"/>
        <v>13.264810426540285</v>
      </c>
      <c r="K163" s="15">
        <f t="shared" si="7"/>
        <v>85.670581930239834</v>
      </c>
      <c r="L163">
        <f t="shared" si="8"/>
        <v>2994</v>
      </c>
    </row>
    <row r="164" spans="1:12" ht="14.25" customHeight="1" x14ac:dyDescent="0.35">
      <c r="A164" t="s">
        <v>582</v>
      </c>
      <c r="B164" s="22" t="s">
        <v>523</v>
      </c>
      <c r="C164" s="3" t="s">
        <v>13</v>
      </c>
      <c r="D164" s="3">
        <v>4009</v>
      </c>
      <c r="E164" s="3">
        <v>454</v>
      </c>
      <c r="F164" s="3">
        <v>995050</v>
      </c>
      <c r="G164" s="3">
        <v>2.1106477061454201</v>
      </c>
      <c r="H164" s="3">
        <v>19833</v>
      </c>
      <c r="I164">
        <v>2100200.0000000005</v>
      </c>
      <c r="J164" s="15">
        <f t="shared" si="6"/>
        <v>4.9471189822898483</v>
      </c>
      <c r="K164" s="15">
        <f t="shared" si="7"/>
        <v>105.89421670952456</v>
      </c>
      <c r="L164">
        <f t="shared" si="8"/>
        <v>3555</v>
      </c>
    </row>
    <row r="165" spans="1:12" ht="14.25" customHeight="1" x14ac:dyDescent="0.35">
      <c r="A165" t="s">
        <v>582</v>
      </c>
      <c r="B165" s="22" t="s">
        <v>523</v>
      </c>
      <c r="C165" s="3" t="s">
        <v>19</v>
      </c>
      <c r="D165" s="3">
        <v>2827</v>
      </c>
      <c r="E165" s="3">
        <v>292</v>
      </c>
      <c r="F165" s="3">
        <v>997585</v>
      </c>
      <c r="G165" s="3">
        <v>2.4004972007397871</v>
      </c>
      <c r="H165" s="3">
        <v>17896</v>
      </c>
      <c r="I165">
        <v>2394700.0000000005</v>
      </c>
      <c r="J165" s="15">
        <f t="shared" si="6"/>
        <v>6.3303855677396532</v>
      </c>
      <c r="K165" s="15">
        <f t="shared" si="7"/>
        <v>133.81202503352708</v>
      </c>
      <c r="L165">
        <f t="shared" si="8"/>
        <v>2535</v>
      </c>
    </row>
    <row r="166" spans="1:12" ht="14.25" customHeight="1" x14ac:dyDescent="0.35">
      <c r="A166" t="s">
        <v>582</v>
      </c>
      <c r="B166" s="22" t="s">
        <v>524</v>
      </c>
      <c r="C166" s="3" t="s">
        <v>19</v>
      </c>
      <c r="D166" s="3">
        <v>7979</v>
      </c>
      <c r="E166" s="3">
        <v>470</v>
      </c>
      <c r="F166" s="3">
        <v>1005094</v>
      </c>
      <c r="G166" s="3">
        <v>10.43086517280971</v>
      </c>
      <c r="H166" s="3">
        <v>42972</v>
      </c>
      <c r="I166">
        <v>10484000.000000004</v>
      </c>
      <c r="J166" s="15">
        <f t="shared" si="6"/>
        <v>5.3856372979070057</v>
      </c>
      <c r="K166" s="15">
        <f t="shared" si="7"/>
        <v>243.97281951037894</v>
      </c>
      <c r="L166">
        <f t="shared" si="8"/>
        <v>7509</v>
      </c>
    </row>
    <row r="167" spans="1:12" ht="14.25" customHeight="1" x14ac:dyDescent="0.35">
      <c r="A167" t="s">
        <v>582</v>
      </c>
      <c r="B167" s="22" t="s">
        <v>524</v>
      </c>
      <c r="C167" s="3" t="s">
        <v>23</v>
      </c>
      <c r="D167" s="3">
        <v>9569</v>
      </c>
      <c r="E167" s="3">
        <v>1277</v>
      </c>
      <c r="F167" s="3">
        <v>1013386</v>
      </c>
      <c r="G167" s="3">
        <v>12.45517502708741</v>
      </c>
      <c r="H167" s="3">
        <v>59733</v>
      </c>
      <c r="I167">
        <v>12621900.000000002</v>
      </c>
      <c r="J167" s="15">
        <f t="shared" si="6"/>
        <v>6.2423450726303686</v>
      </c>
      <c r="K167" s="15">
        <f t="shared" si="7"/>
        <v>211.30530862337403</v>
      </c>
      <c r="L167">
        <f t="shared" si="8"/>
        <v>8292</v>
      </c>
    </row>
    <row r="168" spans="1:12" ht="14.25" customHeight="1" x14ac:dyDescent="0.35">
      <c r="A168" t="s">
        <v>582</v>
      </c>
      <c r="B168" s="22" t="s">
        <v>524</v>
      </c>
      <c r="C168" s="3" t="s">
        <v>19</v>
      </c>
      <c r="D168" s="3">
        <v>5285</v>
      </c>
      <c r="E168" s="3">
        <v>433</v>
      </c>
      <c r="F168" s="3">
        <v>1018238</v>
      </c>
      <c r="G168" s="3">
        <v>8.7022876773406619</v>
      </c>
      <c r="H168" s="3">
        <v>51800</v>
      </c>
      <c r="I168">
        <v>8861000</v>
      </c>
      <c r="J168" s="15">
        <f t="shared" si="6"/>
        <v>9.8013245033112586</v>
      </c>
      <c r="K168" s="15">
        <f t="shared" si="7"/>
        <v>171.06177606177607</v>
      </c>
      <c r="L168">
        <f t="shared" si="8"/>
        <v>4852</v>
      </c>
    </row>
    <row r="169" spans="1:12" ht="14.25" customHeight="1" x14ac:dyDescent="0.35">
      <c r="A169" t="s">
        <v>582</v>
      </c>
      <c r="B169" s="22" t="s">
        <v>524</v>
      </c>
      <c r="C169" s="3" t="s">
        <v>19</v>
      </c>
      <c r="D169" s="3">
        <v>7910</v>
      </c>
      <c r="E169" s="3">
        <v>543</v>
      </c>
      <c r="F169" s="3">
        <v>1025605</v>
      </c>
      <c r="G169" s="3">
        <v>6.0590578244060822</v>
      </c>
      <c r="H169" s="3">
        <v>40508</v>
      </c>
      <c r="I169">
        <v>6214200</v>
      </c>
      <c r="J169" s="15">
        <f t="shared" si="6"/>
        <v>5.121112515802781</v>
      </c>
      <c r="K169" s="15">
        <f t="shared" si="7"/>
        <v>153.40673447220303</v>
      </c>
      <c r="L169">
        <f t="shared" si="8"/>
        <v>7367</v>
      </c>
    </row>
    <row r="170" spans="1:12" ht="14.25" customHeight="1" x14ac:dyDescent="0.35">
      <c r="A170" t="s">
        <v>582</v>
      </c>
      <c r="B170" s="22" t="s">
        <v>340</v>
      </c>
      <c r="C170" s="3" t="s">
        <v>19</v>
      </c>
      <c r="D170" s="3">
        <v>9561</v>
      </c>
      <c r="E170" s="3">
        <v>517</v>
      </c>
      <c r="F170" s="3">
        <v>1034649</v>
      </c>
      <c r="G170" s="3">
        <v>6.4086467971263694</v>
      </c>
      <c r="H170" s="3">
        <v>15347</v>
      </c>
      <c r="I170">
        <v>6630700.0000000009</v>
      </c>
      <c r="J170" s="15">
        <f t="shared" si="6"/>
        <v>1.6051668235540215</v>
      </c>
      <c r="K170" s="15">
        <f t="shared" si="7"/>
        <v>432.05186681436118</v>
      </c>
      <c r="L170">
        <f t="shared" si="8"/>
        <v>9044</v>
      </c>
    </row>
    <row r="171" spans="1:12" ht="14.25" customHeight="1" x14ac:dyDescent="0.35">
      <c r="A171" t="s">
        <v>582</v>
      </c>
      <c r="B171" s="22" t="s">
        <v>340</v>
      </c>
      <c r="C171" s="3" t="s">
        <v>19</v>
      </c>
      <c r="D171" s="3">
        <v>3196</v>
      </c>
      <c r="E171" s="3">
        <v>348</v>
      </c>
      <c r="F171" s="3">
        <v>1037497</v>
      </c>
      <c r="G171" s="3">
        <v>14.03040201562029</v>
      </c>
      <c r="H171" s="3">
        <v>40314</v>
      </c>
      <c r="I171">
        <v>14556500.000000004</v>
      </c>
      <c r="J171" s="15">
        <f t="shared" si="6"/>
        <v>12.61389236545682</v>
      </c>
      <c r="K171" s="15">
        <f t="shared" si="7"/>
        <v>361.07803740636018</v>
      </c>
      <c r="L171">
        <f t="shared" si="8"/>
        <v>2848</v>
      </c>
    </row>
    <row r="172" spans="1:12" ht="14.25" customHeight="1" x14ac:dyDescent="0.35">
      <c r="A172" t="s">
        <v>582</v>
      </c>
      <c r="B172" s="22" t="s">
        <v>340</v>
      </c>
      <c r="C172" s="3" t="s">
        <v>13</v>
      </c>
      <c r="D172" s="3">
        <v>4747</v>
      </c>
      <c r="E172" s="3">
        <v>558</v>
      </c>
      <c r="F172" s="3">
        <v>1041686</v>
      </c>
      <c r="G172" s="3">
        <v>5.7680529449373434</v>
      </c>
      <c r="H172" s="3">
        <v>12643</v>
      </c>
      <c r="I172">
        <v>6008500.0000000019</v>
      </c>
      <c r="J172" s="15">
        <f t="shared" si="6"/>
        <v>2.6633663366336635</v>
      </c>
      <c r="K172" s="15">
        <f t="shared" si="7"/>
        <v>475.24321759076184</v>
      </c>
      <c r="L172">
        <f t="shared" si="8"/>
        <v>4189</v>
      </c>
    </row>
    <row r="173" spans="1:12" ht="14.25" customHeight="1" x14ac:dyDescent="0.35">
      <c r="A173" t="s">
        <v>582</v>
      </c>
      <c r="B173" s="22" t="s">
        <v>340</v>
      </c>
      <c r="C173" s="3" t="s">
        <v>19</v>
      </c>
      <c r="D173" s="3">
        <v>9843</v>
      </c>
      <c r="E173" s="3">
        <v>508</v>
      </c>
      <c r="F173" s="3">
        <v>1051021</v>
      </c>
      <c r="G173" s="3">
        <v>4.2080986012648651</v>
      </c>
      <c r="H173" s="3">
        <v>50785</v>
      </c>
      <c r="I173">
        <v>4422800</v>
      </c>
      <c r="J173" s="15">
        <f t="shared" si="6"/>
        <v>5.1595042161942501</v>
      </c>
      <c r="K173" s="15">
        <f t="shared" si="7"/>
        <v>87.088707295461262</v>
      </c>
      <c r="L173">
        <f t="shared" si="8"/>
        <v>9335</v>
      </c>
    </row>
    <row r="174" spans="1:12" ht="14.25" customHeight="1" x14ac:dyDescent="0.35">
      <c r="A174" t="s">
        <v>582</v>
      </c>
      <c r="B174" s="22" t="s">
        <v>525</v>
      </c>
      <c r="C174" s="3" t="s">
        <v>46</v>
      </c>
      <c r="D174" s="3">
        <v>6978</v>
      </c>
      <c r="E174" s="3">
        <v>706</v>
      </c>
      <c r="F174" s="3">
        <v>1057293</v>
      </c>
      <c r="G174" s="3">
        <v>5.057443868445171</v>
      </c>
      <c r="H174" s="3">
        <v>28681</v>
      </c>
      <c r="I174">
        <v>5347200</v>
      </c>
      <c r="J174" s="15">
        <f t="shared" si="6"/>
        <v>4.1102034967039263</v>
      </c>
      <c r="K174" s="15">
        <f t="shared" si="7"/>
        <v>186.43701405111398</v>
      </c>
      <c r="L174">
        <f t="shared" si="8"/>
        <v>6272</v>
      </c>
    </row>
    <row r="175" spans="1:12" ht="14.25" customHeight="1" x14ac:dyDescent="0.35">
      <c r="A175" t="s">
        <v>582</v>
      </c>
      <c r="B175" s="22" t="s">
        <v>525</v>
      </c>
      <c r="C175" s="3" t="s">
        <v>23</v>
      </c>
      <c r="D175" s="3">
        <v>6607</v>
      </c>
      <c r="E175" s="3">
        <v>479</v>
      </c>
      <c r="F175" s="3">
        <v>1063421</v>
      </c>
      <c r="G175" s="3">
        <v>5.5892257158735816</v>
      </c>
      <c r="H175" s="3">
        <v>48328</v>
      </c>
      <c r="I175">
        <v>5943700</v>
      </c>
      <c r="J175" s="15">
        <f t="shared" si="6"/>
        <v>7.3146662630543364</v>
      </c>
      <c r="K175" s="15">
        <f t="shared" si="7"/>
        <v>122.986674391657</v>
      </c>
      <c r="L175">
        <f t="shared" si="8"/>
        <v>6128</v>
      </c>
    </row>
    <row r="176" spans="1:12" ht="14.25" customHeight="1" x14ac:dyDescent="0.35">
      <c r="A176" t="s">
        <v>582</v>
      </c>
      <c r="B176" s="22" t="s">
        <v>525</v>
      </c>
      <c r="C176" s="3" t="s">
        <v>13</v>
      </c>
      <c r="D176" s="3">
        <v>1769</v>
      </c>
      <c r="E176" s="3">
        <v>202</v>
      </c>
      <c r="F176" s="3">
        <v>1064988</v>
      </c>
      <c r="G176" s="3">
        <v>6.5457075572682513</v>
      </c>
      <c r="H176" s="3">
        <v>25892</v>
      </c>
      <c r="I176">
        <v>6971100</v>
      </c>
      <c r="J176" s="15">
        <f t="shared" si="6"/>
        <v>14.636517806670435</v>
      </c>
      <c r="K176" s="15">
        <f t="shared" si="7"/>
        <v>269.23760234821566</v>
      </c>
      <c r="L176">
        <f t="shared" si="8"/>
        <v>1567</v>
      </c>
    </row>
    <row r="177" spans="1:12" ht="14.25" customHeight="1" x14ac:dyDescent="0.35">
      <c r="A177" t="s">
        <v>582</v>
      </c>
      <c r="B177" s="22" t="s">
        <v>525</v>
      </c>
      <c r="C177" s="3" t="s">
        <v>19</v>
      </c>
      <c r="D177" s="3">
        <v>1780</v>
      </c>
      <c r="E177" s="3">
        <v>120</v>
      </c>
      <c r="F177" s="3">
        <v>1066648</v>
      </c>
      <c r="G177" s="3">
        <v>13.86474263299608</v>
      </c>
      <c r="H177" s="3">
        <v>57299</v>
      </c>
      <c r="I177">
        <v>14788800.000000004</v>
      </c>
      <c r="J177" s="15">
        <f t="shared" si="6"/>
        <v>32.190449438202251</v>
      </c>
      <c r="K177" s="15">
        <f t="shared" si="7"/>
        <v>258.09874517879899</v>
      </c>
      <c r="L177">
        <f t="shared" si="8"/>
        <v>1660</v>
      </c>
    </row>
    <row r="178" spans="1:12" ht="14.25" customHeight="1" x14ac:dyDescent="0.35">
      <c r="A178" t="s">
        <v>583</v>
      </c>
      <c r="B178" s="22" t="s">
        <v>355</v>
      </c>
      <c r="C178" s="3" t="s">
        <v>13</v>
      </c>
      <c r="D178" s="3">
        <v>7303</v>
      </c>
      <c r="E178" s="3">
        <v>869</v>
      </c>
      <c r="F178" s="3">
        <v>1073082</v>
      </c>
      <c r="G178" s="3">
        <v>8.1237966902808925</v>
      </c>
      <c r="H178" s="3">
        <v>27073</v>
      </c>
      <c r="I178">
        <v>8717500</v>
      </c>
      <c r="J178" s="15">
        <f t="shared" si="6"/>
        <v>3.7071066684924006</v>
      </c>
      <c r="K178" s="15">
        <f t="shared" si="7"/>
        <v>321.99977837698077</v>
      </c>
      <c r="L178">
        <f t="shared" si="8"/>
        <v>6434</v>
      </c>
    </row>
    <row r="179" spans="1:12" ht="14.25" customHeight="1" x14ac:dyDescent="0.35">
      <c r="A179" t="s">
        <v>583</v>
      </c>
      <c r="B179" s="22" t="s">
        <v>355</v>
      </c>
      <c r="C179" s="3" t="s">
        <v>19</v>
      </c>
      <c r="D179" s="3">
        <v>4983</v>
      </c>
      <c r="E179" s="3">
        <v>441</v>
      </c>
      <c r="F179" s="3">
        <v>1077624</v>
      </c>
      <c r="G179" s="3">
        <v>6.8954477628560609</v>
      </c>
      <c r="H179" s="3">
        <v>46768</v>
      </c>
      <c r="I179">
        <v>7430700</v>
      </c>
      <c r="J179" s="15">
        <f t="shared" si="6"/>
        <v>9.3855107365041146</v>
      </c>
      <c r="K179" s="15">
        <f t="shared" si="7"/>
        <v>158.88427984946972</v>
      </c>
      <c r="L179">
        <f t="shared" si="8"/>
        <v>4542</v>
      </c>
    </row>
    <row r="180" spans="1:12" ht="14.25" customHeight="1" x14ac:dyDescent="0.35">
      <c r="A180" t="s">
        <v>583</v>
      </c>
      <c r="B180" s="22" t="s">
        <v>355</v>
      </c>
      <c r="C180" s="3" t="s">
        <v>46</v>
      </c>
      <c r="D180" s="3">
        <v>9714</v>
      </c>
      <c r="E180" s="3">
        <v>1395</v>
      </c>
      <c r="F180" s="3">
        <v>1085943</v>
      </c>
      <c r="G180" s="3">
        <v>5.2243073531483697</v>
      </c>
      <c r="H180" s="3">
        <v>40682</v>
      </c>
      <c r="I180">
        <v>5673300</v>
      </c>
      <c r="J180" s="15">
        <f t="shared" si="6"/>
        <v>4.1879761169446157</v>
      </c>
      <c r="K180" s="15">
        <f t="shared" si="7"/>
        <v>139.45479573275651</v>
      </c>
      <c r="L180">
        <f t="shared" si="8"/>
        <v>8319</v>
      </c>
    </row>
    <row r="181" spans="1:12" ht="14.25" customHeight="1" x14ac:dyDescent="0.35">
      <c r="A181" t="s">
        <v>583</v>
      </c>
      <c r="B181" s="22" t="s">
        <v>355</v>
      </c>
      <c r="C181" s="3" t="s">
        <v>23</v>
      </c>
      <c r="D181" s="3">
        <v>1521</v>
      </c>
      <c r="E181" s="3">
        <v>96</v>
      </c>
      <c r="F181" s="3">
        <v>1087368</v>
      </c>
      <c r="G181" s="3">
        <v>12.709772588488899</v>
      </c>
      <c r="H181" s="3">
        <v>42262</v>
      </c>
      <c r="I181">
        <v>13820199.999999998</v>
      </c>
      <c r="J181" s="15">
        <f t="shared" si="6"/>
        <v>27.785667324128863</v>
      </c>
      <c r="K181" s="15">
        <f t="shared" si="7"/>
        <v>327.01244616913533</v>
      </c>
      <c r="L181">
        <f t="shared" si="8"/>
        <v>1425</v>
      </c>
    </row>
    <row r="182" spans="1:12" ht="14.25" customHeight="1" x14ac:dyDescent="0.35">
      <c r="A182" t="s">
        <v>583</v>
      </c>
      <c r="B182" s="22" t="s">
        <v>526</v>
      </c>
      <c r="C182" s="3" t="s">
        <v>19</v>
      </c>
      <c r="D182" s="3">
        <v>8569</v>
      </c>
      <c r="E182" s="3">
        <v>720</v>
      </c>
      <c r="F182" s="3">
        <v>1095217</v>
      </c>
      <c r="G182" s="3">
        <v>9.589697749395782</v>
      </c>
      <c r="H182" s="3">
        <v>41358</v>
      </c>
      <c r="I182">
        <v>10502800</v>
      </c>
      <c r="J182" s="15">
        <f t="shared" si="6"/>
        <v>4.8264674991247523</v>
      </c>
      <c r="K182" s="15">
        <f t="shared" si="7"/>
        <v>253.94845011847769</v>
      </c>
      <c r="L182">
        <f t="shared" si="8"/>
        <v>7849</v>
      </c>
    </row>
    <row r="183" spans="1:12" ht="14.25" customHeight="1" x14ac:dyDescent="0.35">
      <c r="A183" t="s">
        <v>583</v>
      </c>
      <c r="B183" s="22" t="s">
        <v>526</v>
      </c>
      <c r="C183" s="3" t="s">
        <v>19</v>
      </c>
      <c r="D183" s="3">
        <v>6784</v>
      </c>
      <c r="E183" s="3">
        <v>416</v>
      </c>
      <c r="F183" s="3">
        <v>1101585</v>
      </c>
      <c r="G183" s="3">
        <v>9.3041390360253633</v>
      </c>
      <c r="H183" s="3">
        <v>24289</v>
      </c>
      <c r="I183">
        <v>10249300</v>
      </c>
      <c r="J183" s="15">
        <f t="shared" si="6"/>
        <v>3.5803360849056602</v>
      </c>
      <c r="K183" s="15">
        <f t="shared" si="7"/>
        <v>421.9729095475318</v>
      </c>
      <c r="L183">
        <f t="shared" si="8"/>
        <v>6368</v>
      </c>
    </row>
    <row r="184" spans="1:12" ht="14.25" customHeight="1" x14ac:dyDescent="0.35">
      <c r="A184" t="s">
        <v>583</v>
      </c>
      <c r="B184" s="22" t="s">
        <v>526</v>
      </c>
      <c r="C184" s="3" t="s">
        <v>19</v>
      </c>
      <c r="D184" s="3">
        <v>5583</v>
      </c>
      <c r="E184" s="3">
        <v>795</v>
      </c>
      <c r="F184" s="3">
        <v>1106373</v>
      </c>
      <c r="G184" s="3">
        <v>12.21550055903389</v>
      </c>
      <c r="H184" s="3">
        <v>59823</v>
      </c>
      <c r="I184">
        <v>13514900.000000002</v>
      </c>
      <c r="J184" s="15">
        <f t="shared" si="6"/>
        <v>10.715206878022569</v>
      </c>
      <c r="K184" s="15">
        <f t="shared" si="7"/>
        <v>225.91478194005654</v>
      </c>
      <c r="L184">
        <f t="shared" si="8"/>
        <v>4788</v>
      </c>
    </row>
    <row r="185" spans="1:12" ht="14.25" customHeight="1" x14ac:dyDescent="0.35">
      <c r="A185" t="s">
        <v>583</v>
      </c>
      <c r="B185" s="22" t="s">
        <v>526</v>
      </c>
      <c r="C185" s="3" t="s">
        <v>19</v>
      </c>
      <c r="D185" s="3">
        <v>6946</v>
      </c>
      <c r="E185" s="3">
        <v>956</v>
      </c>
      <c r="F185" s="3">
        <v>1112363</v>
      </c>
      <c r="G185" s="3">
        <v>1.64146056637986</v>
      </c>
      <c r="H185" s="3">
        <v>17927</v>
      </c>
      <c r="I185">
        <v>1825900.0000000002</v>
      </c>
      <c r="J185" s="15">
        <f t="shared" si="6"/>
        <v>2.580909876187734</v>
      </c>
      <c r="K185" s="15">
        <f t="shared" si="7"/>
        <v>101.85195515144756</v>
      </c>
      <c r="L185">
        <f t="shared" si="8"/>
        <v>5990</v>
      </c>
    </row>
    <row r="186" spans="1:12" ht="14.25" customHeight="1" x14ac:dyDescent="0.35">
      <c r="A186" t="s">
        <v>583</v>
      </c>
      <c r="B186" s="22" t="s">
        <v>527</v>
      </c>
      <c r="C186" s="3" t="s">
        <v>23</v>
      </c>
      <c r="D186" s="3">
        <v>5941</v>
      </c>
      <c r="E186" s="3">
        <v>450</v>
      </c>
      <c r="F186" s="3">
        <v>1117854</v>
      </c>
      <c r="G186" s="3">
        <v>12.414411899944</v>
      </c>
      <c r="H186" s="3">
        <v>58330</v>
      </c>
      <c r="I186">
        <v>13877500</v>
      </c>
      <c r="J186" s="15">
        <f t="shared" si="6"/>
        <v>9.8182124221511522</v>
      </c>
      <c r="K186" s="15">
        <f t="shared" si="7"/>
        <v>237.91359506257501</v>
      </c>
      <c r="L186">
        <f t="shared" si="8"/>
        <v>5491</v>
      </c>
    </row>
    <row r="187" spans="1:12" ht="14.25" customHeight="1" x14ac:dyDescent="0.35">
      <c r="A187" t="s">
        <v>583</v>
      </c>
      <c r="B187" s="22" t="s">
        <v>527</v>
      </c>
      <c r="C187" s="3" t="s">
        <v>23</v>
      </c>
      <c r="D187" s="3">
        <v>7267</v>
      </c>
      <c r="E187" s="3">
        <v>842</v>
      </c>
      <c r="F187" s="3">
        <v>1124279</v>
      </c>
      <c r="G187" s="3">
        <v>2.2102165031989389</v>
      </c>
      <c r="H187" s="3">
        <v>11171</v>
      </c>
      <c r="I187">
        <v>2484900</v>
      </c>
      <c r="J187" s="15">
        <f t="shared" si="6"/>
        <v>1.5372230631622403</v>
      </c>
      <c r="K187" s="15">
        <f t="shared" si="7"/>
        <v>222.44203741831529</v>
      </c>
      <c r="L187">
        <f t="shared" si="8"/>
        <v>6425</v>
      </c>
    </row>
    <row r="188" spans="1:12" ht="14.25" customHeight="1" x14ac:dyDescent="0.35">
      <c r="A188" t="s">
        <v>583</v>
      </c>
      <c r="B188" s="22" t="s">
        <v>527</v>
      </c>
      <c r="C188" s="3" t="s">
        <v>46</v>
      </c>
      <c r="D188" s="3">
        <v>8128</v>
      </c>
      <c r="E188" s="3">
        <v>1070</v>
      </c>
      <c r="F188" s="3">
        <v>1131337</v>
      </c>
      <c r="G188" s="3">
        <v>8.1114645768679008</v>
      </c>
      <c r="H188" s="3">
        <v>21918</v>
      </c>
      <c r="I188">
        <v>9176800</v>
      </c>
      <c r="J188" s="15">
        <f t="shared" si="6"/>
        <v>2.6966043307086616</v>
      </c>
      <c r="K188" s="15">
        <f t="shared" si="7"/>
        <v>418.68783648143079</v>
      </c>
      <c r="L188">
        <f t="shared" si="8"/>
        <v>7058</v>
      </c>
    </row>
    <row r="189" spans="1:12" ht="14.25" customHeight="1" x14ac:dyDescent="0.35">
      <c r="A189" t="s">
        <v>583</v>
      </c>
      <c r="B189" s="22" t="s">
        <v>527</v>
      </c>
      <c r="C189" s="3" t="s">
        <v>23</v>
      </c>
      <c r="D189" s="3">
        <v>3461</v>
      </c>
      <c r="E189" s="3">
        <v>365</v>
      </c>
      <c r="F189" s="3">
        <v>1134433</v>
      </c>
      <c r="G189" s="3">
        <v>10.23489267325616</v>
      </c>
      <c r="H189" s="3">
        <v>51903</v>
      </c>
      <c r="I189">
        <v>11610800.000000006</v>
      </c>
      <c r="J189" s="15">
        <f t="shared" si="6"/>
        <v>14.996532793990177</v>
      </c>
      <c r="K189" s="15">
        <f t="shared" si="7"/>
        <v>223.70190547752549</v>
      </c>
      <c r="L189">
        <f t="shared" si="8"/>
        <v>3096</v>
      </c>
    </row>
    <row r="190" spans="1:12" ht="14.25" customHeight="1" x14ac:dyDescent="0.35">
      <c r="A190" t="s">
        <v>583</v>
      </c>
      <c r="B190" s="22" t="s">
        <v>313</v>
      </c>
      <c r="C190" s="3" t="s">
        <v>19</v>
      </c>
      <c r="D190" s="3">
        <v>1685</v>
      </c>
      <c r="E190" s="3">
        <v>173</v>
      </c>
      <c r="F190" s="3">
        <v>1135945</v>
      </c>
      <c r="G190" s="3">
        <v>8.7776256772995165</v>
      </c>
      <c r="H190" s="3">
        <v>49110</v>
      </c>
      <c r="I190">
        <v>9970900</v>
      </c>
      <c r="J190" s="15">
        <f t="shared" si="6"/>
        <v>29.145400593471809</v>
      </c>
      <c r="K190" s="15">
        <f t="shared" si="7"/>
        <v>203.0319690490735</v>
      </c>
      <c r="L190">
        <f t="shared" si="8"/>
        <v>1512</v>
      </c>
    </row>
    <row r="191" spans="1:12" ht="14.25" customHeight="1" x14ac:dyDescent="0.35">
      <c r="A191" t="s">
        <v>583</v>
      </c>
      <c r="B191" s="22" t="s">
        <v>313</v>
      </c>
      <c r="C191" s="3" t="s">
        <v>46</v>
      </c>
      <c r="D191" s="3">
        <v>3160</v>
      </c>
      <c r="E191" s="3">
        <v>234</v>
      </c>
      <c r="F191" s="3">
        <v>1138871</v>
      </c>
      <c r="G191" s="3">
        <v>5.6959041015180816</v>
      </c>
      <c r="H191" s="3">
        <v>21929</v>
      </c>
      <c r="I191">
        <v>6486899.9999999991</v>
      </c>
      <c r="J191" s="15">
        <f t="shared" si="6"/>
        <v>6.9395569620253168</v>
      </c>
      <c r="K191" s="15">
        <f t="shared" si="7"/>
        <v>295.81376259747361</v>
      </c>
      <c r="L191">
        <f t="shared" si="8"/>
        <v>2926</v>
      </c>
    </row>
    <row r="192" spans="1:12" ht="14.25" customHeight="1" x14ac:dyDescent="0.35">
      <c r="A192" t="s">
        <v>583</v>
      </c>
      <c r="B192" s="22" t="s">
        <v>313</v>
      </c>
      <c r="C192" s="3" t="s">
        <v>46</v>
      </c>
      <c r="D192" s="3">
        <v>8031</v>
      </c>
      <c r="E192" s="3">
        <v>476</v>
      </c>
      <c r="F192" s="3">
        <v>1146426</v>
      </c>
      <c r="G192" s="3">
        <v>11.940413075069831</v>
      </c>
      <c r="H192" s="3">
        <v>12539</v>
      </c>
      <c r="I192">
        <v>13688800.000000006</v>
      </c>
      <c r="J192" s="15">
        <f t="shared" si="6"/>
        <v>1.5613248661436931</v>
      </c>
      <c r="K192" s="15">
        <f t="shared" si="7"/>
        <v>1091.697902544063</v>
      </c>
      <c r="L192">
        <f t="shared" si="8"/>
        <v>7555</v>
      </c>
    </row>
    <row r="193" spans="1:12" ht="14.25" customHeight="1" x14ac:dyDescent="0.35">
      <c r="A193" t="s">
        <v>583</v>
      </c>
      <c r="B193" s="22" t="s">
        <v>313</v>
      </c>
      <c r="C193" s="3" t="s">
        <v>46</v>
      </c>
      <c r="D193" s="3">
        <v>6341</v>
      </c>
      <c r="E193" s="3">
        <v>885</v>
      </c>
      <c r="F193" s="3">
        <v>1151882</v>
      </c>
      <c r="G193" s="3">
        <v>6.3457020771224837</v>
      </c>
      <c r="H193" s="3">
        <v>46727</v>
      </c>
      <c r="I193">
        <v>7309500.0000000009</v>
      </c>
      <c r="J193" s="15">
        <f t="shared" si="6"/>
        <v>7.3690269673553068</v>
      </c>
      <c r="K193" s="15">
        <f t="shared" si="7"/>
        <v>156.42990134183665</v>
      </c>
      <c r="L193">
        <f t="shared" si="8"/>
        <v>5456</v>
      </c>
    </row>
    <row r="194" spans="1:12" ht="14.25" customHeight="1" x14ac:dyDescent="0.35">
      <c r="A194" t="s">
        <v>584</v>
      </c>
      <c r="B194" s="22" t="s">
        <v>61</v>
      </c>
      <c r="C194" s="3" t="s">
        <v>19</v>
      </c>
      <c r="D194" s="3">
        <v>1038</v>
      </c>
      <c r="E194" s="3">
        <v>145</v>
      </c>
      <c r="F194" s="3">
        <v>1152775</v>
      </c>
      <c r="G194" s="3">
        <v>11.093752033137431</v>
      </c>
      <c r="H194" s="3">
        <v>55951</v>
      </c>
      <c r="I194">
        <v>12788600.000000002</v>
      </c>
      <c r="J194" s="15">
        <f t="shared" si="6"/>
        <v>53.902697495183041</v>
      </c>
      <c r="K194" s="15">
        <f t="shared" si="7"/>
        <v>228.56785401512042</v>
      </c>
      <c r="L194">
        <f t="shared" si="8"/>
        <v>893</v>
      </c>
    </row>
    <row r="195" spans="1:12" ht="14.25" customHeight="1" x14ac:dyDescent="0.35">
      <c r="A195" t="s">
        <v>584</v>
      </c>
      <c r="B195" s="22" t="s">
        <v>61</v>
      </c>
      <c r="C195" s="3" t="s">
        <v>13</v>
      </c>
      <c r="D195" s="3">
        <v>5875</v>
      </c>
      <c r="E195" s="3">
        <v>665</v>
      </c>
      <c r="F195" s="3">
        <v>1157985</v>
      </c>
      <c r="G195" s="3">
        <v>6.9871371390821126</v>
      </c>
      <c r="H195" s="3">
        <v>32669</v>
      </c>
      <c r="I195">
        <v>8091000</v>
      </c>
      <c r="J195" s="15">
        <f t="shared" ref="J195:J201" si="9">H195/D195</f>
        <v>5.5606808510638297</v>
      </c>
      <c r="K195" s="15">
        <f t="shared" ref="K195:K201" si="10">I195/H195</f>
        <v>247.66598304202762</v>
      </c>
      <c r="L195">
        <f t="shared" ref="L195:L201" si="11">D195-E195</f>
        <v>5210</v>
      </c>
    </row>
    <row r="196" spans="1:12" ht="14.25" customHeight="1" x14ac:dyDescent="0.35">
      <c r="A196" t="s">
        <v>584</v>
      </c>
      <c r="B196" s="22" t="s">
        <v>61</v>
      </c>
      <c r="C196" s="3" t="s">
        <v>19</v>
      </c>
      <c r="D196" s="3">
        <v>2256</v>
      </c>
      <c r="E196" s="3">
        <v>189</v>
      </c>
      <c r="F196" s="3">
        <v>1160052</v>
      </c>
      <c r="G196" s="3">
        <v>2.8935771844710412</v>
      </c>
      <c r="H196" s="3">
        <v>15432</v>
      </c>
      <c r="I196">
        <v>3356700.0000000005</v>
      </c>
      <c r="J196" s="15">
        <f t="shared" si="9"/>
        <v>6.8404255319148932</v>
      </c>
      <c r="K196" s="15">
        <f t="shared" si="10"/>
        <v>217.51555209953347</v>
      </c>
      <c r="L196">
        <f t="shared" si="11"/>
        <v>2067</v>
      </c>
    </row>
    <row r="197" spans="1:12" ht="14.25" customHeight="1" x14ac:dyDescent="0.35">
      <c r="A197" t="s">
        <v>584</v>
      </c>
      <c r="B197" s="22" t="s">
        <v>61</v>
      </c>
      <c r="C197" s="3" t="s">
        <v>23</v>
      </c>
      <c r="D197" s="3">
        <v>8697</v>
      </c>
      <c r="E197" s="3">
        <v>738</v>
      </c>
      <c r="F197" s="3">
        <v>1168011</v>
      </c>
      <c r="G197" s="3">
        <v>3.8777032065622672</v>
      </c>
      <c r="H197" s="3">
        <v>30644</v>
      </c>
      <c r="I197">
        <v>4529200</v>
      </c>
      <c r="J197" s="15">
        <f t="shared" si="9"/>
        <v>3.5235138553524203</v>
      </c>
      <c r="K197" s="15">
        <f t="shared" si="10"/>
        <v>147.80054823130141</v>
      </c>
      <c r="L197">
        <f t="shared" si="11"/>
        <v>7959</v>
      </c>
    </row>
    <row r="198" spans="1:12" ht="14.25" customHeight="1" x14ac:dyDescent="0.35">
      <c r="A198" t="s">
        <v>584</v>
      </c>
      <c r="B198" s="22" t="s">
        <v>24</v>
      </c>
      <c r="C198" s="3" t="s">
        <v>23</v>
      </c>
      <c r="D198" s="3">
        <v>3196</v>
      </c>
      <c r="E198" s="3">
        <v>391</v>
      </c>
      <c r="F198" s="3">
        <v>1170816</v>
      </c>
      <c r="G198" s="3">
        <v>7.2439221876024931</v>
      </c>
      <c r="H198" s="3">
        <v>28745</v>
      </c>
      <c r="I198">
        <v>8481300</v>
      </c>
      <c r="J198" s="15">
        <f t="shared" si="9"/>
        <v>8.9940550688360457</v>
      </c>
      <c r="K198" s="15">
        <f t="shared" si="10"/>
        <v>295.05305270481824</v>
      </c>
      <c r="L198">
        <f t="shared" si="11"/>
        <v>2805</v>
      </c>
    </row>
    <row r="199" spans="1:12" ht="14.25" customHeight="1" x14ac:dyDescent="0.35">
      <c r="A199" t="s">
        <v>584</v>
      </c>
      <c r="B199" s="22" t="s">
        <v>24</v>
      </c>
      <c r="C199" s="3" t="s">
        <v>19</v>
      </c>
      <c r="D199" s="3">
        <v>8165</v>
      </c>
      <c r="E199" s="3">
        <v>1140</v>
      </c>
      <c r="F199" s="3">
        <v>1177841</v>
      </c>
      <c r="G199" s="3">
        <v>9.095964565675672</v>
      </c>
      <c r="H199" s="3">
        <v>38228</v>
      </c>
      <c r="I199">
        <v>10713600</v>
      </c>
      <c r="J199" s="15">
        <f t="shared" si="9"/>
        <v>4.6819350887936313</v>
      </c>
      <c r="K199" s="15">
        <f t="shared" si="10"/>
        <v>280.25531024380035</v>
      </c>
      <c r="L199">
        <f t="shared" si="11"/>
        <v>7025</v>
      </c>
    </row>
    <row r="200" spans="1:12" ht="14.25" customHeight="1" x14ac:dyDescent="0.35">
      <c r="A200" t="s">
        <v>584</v>
      </c>
      <c r="B200" s="22" t="s">
        <v>24</v>
      </c>
      <c r="C200" s="3" t="s">
        <v>19</v>
      </c>
      <c r="D200" s="3">
        <v>1301</v>
      </c>
      <c r="E200" s="3">
        <v>180</v>
      </c>
      <c r="F200" s="3">
        <v>1178962</v>
      </c>
      <c r="G200" s="3">
        <v>5.2275645864752214</v>
      </c>
      <c r="H200" s="3">
        <v>44521</v>
      </c>
      <c r="I200">
        <v>6163100</v>
      </c>
      <c r="J200" s="15">
        <f t="shared" si="9"/>
        <v>34.220599538816295</v>
      </c>
      <c r="K200" s="15">
        <f t="shared" si="10"/>
        <v>138.43130208216348</v>
      </c>
      <c r="L200">
        <f t="shared" si="11"/>
        <v>1121</v>
      </c>
    </row>
    <row r="201" spans="1:12" ht="14.25" customHeight="1" x14ac:dyDescent="0.35">
      <c r="A201" t="s">
        <v>584</v>
      </c>
      <c r="B201" s="22" t="s">
        <v>24</v>
      </c>
      <c r="C201" s="3" t="s">
        <v>46</v>
      </c>
      <c r="D201" s="3">
        <v>8527</v>
      </c>
      <c r="E201" s="3">
        <v>1091</v>
      </c>
      <c r="F201" s="3">
        <v>1186398</v>
      </c>
      <c r="G201" s="3">
        <v>1.676081719625286</v>
      </c>
      <c r="H201" s="3">
        <v>41703</v>
      </c>
      <c r="I201">
        <v>1988500</v>
      </c>
      <c r="J201" s="15">
        <f t="shared" si="9"/>
        <v>4.8907001290019938</v>
      </c>
      <c r="K201" s="15">
        <f t="shared" si="10"/>
        <v>47.682420928949952</v>
      </c>
      <c r="L201">
        <f t="shared" si="11"/>
        <v>7436</v>
      </c>
    </row>
    <row r="202" spans="1:12" ht="14.25" customHeight="1" x14ac:dyDescent="0.35">
      <c r="B202" s="4"/>
    </row>
    <row r="203" spans="1:12" ht="14.25" customHeight="1" x14ac:dyDescent="0.35">
      <c r="B203" s="4"/>
    </row>
    <row r="204" spans="1:12" ht="14.25" customHeight="1" x14ac:dyDescent="0.35">
      <c r="B204" s="4"/>
    </row>
    <row r="205" spans="1:12" ht="14.25" customHeight="1" x14ac:dyDescent="0.35">
      <c r="B205" s="4"/>
    </row>
    <row r="206" spans="1:12" ht="14.25" customHeight="1" x14ac:dyDescent="0.35">
      <c r="B206" s="4"/>
    </row>
    <row r="207" spans="1:12" ht="14.25" customHeight="1" x14ac:dyDescent="0.35">
      <c r="B207" s="4"/>
    </row>
    <row r="208" spans="1:12" ht="14.25" customHeight="1" x14ac:dyDescent="0.35">
      <c r="B208" s="4"/>
    </row>
    <row r="209" spans="2:2" ht="14.25" customHeight="1" x14ac:dyDescent="0.35">
      <c r="B209" s="4"/>
    </row>
    <row r="210" spans="2:2" ht="14.25" customHeight="1" x14ac:dyDescent="0.35">
      <c r="B210" s="4"/>
    </row>
    <row r="211" spans="2:2" ht="14.25" customHeight="1" x14ac:dyDescent="0.35">
      <c r="B211" s="4"/>
    </row>
    <row r="212" spans="2:2" ht="14.25" customHeight="1" x14ac:dyDescent="0.35">
      <c r="B212" s="4"/>
    </row>
    <row r="213" spans="2:2" ht="14.25" customHeight="1" x14ac:dyDescent="0.35">
      <c r="B213" s="4"/>
    </row>
    <row r="214" spans="2:2" ht="14.25" customHeight="1" x14ac:dyDescent="0.35">
      <c r="B214" s="4"/>
    </row>
    <row r="215" spans="2:2" ht="14.25" customHeight="1" x14ac:dyDescent="0.35">
      <c r="B215" s="4"/>
    </row>
    <row r="216" spans="2:2" ht="14.25" customHeight="1" x14ac:dyDescent="0.35">
      <c r="B216" s="4"/>
    </row>
    <row r="217" spans="2:2" ht="14.25" customHeight="1" x14ac:dyDescent="0.35">
      <c r="B217" s="4"/>
    </row>
    <row r="218" spans="2:2" ht="14.25" customHeight="1" x14ac:dyDescent="0.35">
      <c r="B218" s="4"/>
    </row>
    <row r="219" spans="2:2" ht="14.25" customHeight="1" x14ac:dyDescent="0.35">
      <c r="B219" s="4"/>
    </row>
    <row r="220" spans="2:2" ht="14.25" customHeight="1" x14ac:dyDescent="0.35">
      <c r="B220" s="4"/>
    </row>
    <row r="221" spans="2:2" ht="14.25" customHeight="1" x14ac:dyDescent="0.35">
      <c r="B221" s="4"/>
    </row>
    <row r="222" spans="2:2" ht="14.25" customHeight="1" x14ac:dyDescent="0.35">
      <c r="B222" s="4"/>
    </row>
    <row r="223" spans="2:2" ht="14.25" customHeight="1" x14ac:dyDescent="0.35">
      <c r="B223" s="4"/>
    </row>
    <row r="224" spans="2:2" ht="14.25" customHeight="1" x14ac:dyDescent="0.35">
      <c r="B224" s="4"/>
    </row>
    <row r="225" spans="2:2" ht="14.25" customHeight="1" x14ac:dyDescent="0.35">
      <c r="B225" s="4"/>
    </row>
    <row r="226" spans="2:2" ht="14.25" customHeight="1" x14ac:dyDescent="0.35">
      <c r="B226" s="4"/>
    </row>
    <row r="227" spans="2:2" ht="14.25" customHeight="1" x14ac:dyDescent="0.35">
      <c r="B227" s="4"/>
    </row>
    <row r="228" spans="2:2" ht="14.25" customHeight="1" x14ac:dyDescent="0.35">
      <c r="B228" s="4"/>
    </row>
    <row r="229" spans="2:2" ht="14.25" customHeight="1" x14ac:dyDescent="0.35">
      <c r="B229" s="4"/>
    </row>
    <row r="230" spans="2:2" ht="14.25" customHeight="1" x14ac:dyDescent="0.35">
      <c r="B230" s="4"/>
    </row>
    <row r="231" spans="2:2" ht="14.25" customHeight="1" x14ac:dyDescent="0.35">
      <c r="B231" s="4"/>
    </row>
    <row r="232" spans="2:2" ht="14.25" customHeight="1" x14ac:dyDescent="0.35">
      <c r="B232" s="4"/>
    </row>
    <row r="233" spans="2:2" ht="14.25" customHeight="1" x14ac:dyDescent="0.35">
      <c r="B233" s="4"/>
    </row>
    <row r="234" spans="2:2" ht="14.25" customHeight="1" x14ac:dyDescent="0.35">
      <c r="B234" s="4"/>
    </row>
    <row r="235" spans="2:2" ht="14.25" customHeight="1" x14ac:dyDescent="0.35">
      <c r="B235" s="5"/>
    </row>
    <row r="236" spans="2:2" ht="14.25" customHeight="1" x14ac:dyDescent="0.35">
      <c r="B236" s="5"/>
    </row>
    <row r="237" spans="2:2" ht="14.25" customHeight="1" x14ac:dyDescent="0.35">
      <c r="B237" s="5"/>
    </row>
    <row r="238" spans="2:2" ht="14.25" customHeight="1" x14ac:dyDescent="0.35">
      <c r="B238" s="5"/>
    </row>
    <row r="239" spans="2:2" ht="14.25" customHeight="1" x14ac:dyDescent="0.35">
      <c r="B239" s="5"/>
    </row>
    <row r="240" spans="2:2" ht="14.25" customHeight="1" x14ac:dyDescent="0.35">
      <c r="B240" s="5"/>
    </row>
    <row r="241" spans="2:2" ht="14.25" customHeight="1" x14ac:dyDescent="0.35">
      <c r="B241" s="5"/>
    </row>
    <row r="242" spans="2:2" ht="14.25" customHeight="1" x14ac:dyDescent="0.35">
      <c r="B242" s="5"/>
    </row>
    <row r="243" spans="2:2" ht="14.25" customHeight="1" x14ac:dyDescent="0.35">
      <c r="B243" s="5"/>
    </row>
    <row r="244" spans="2:2" ht="14.25" customHeight="1" x14ac:dyDescent="0.35">
      <c r="B244" s="5"/>
    </row>
    <row r="245" spans="2:2" ht="14.25" customHeight="1" x14ac:dyDescent="0.35">
      <c r="B245" s="5"/>
    </row>
    <row r="246" spans="2:2" ht="14.25" customHeight="1" x14ac:dyDescent="0.35">
      <c r="B246" s="5"/>
    </row>
    <row r="247" spans="2:2" ht="14.25" customHeight="1" x14ac:dyDescent="0.35">
      <c r="B247" s="5"/>
    </row>
    <row r="248" spans="2:2" ht="14.25" customHeight="1" x14ac:dyDescent="0.35">
      <c r="B248" s="5"/>
    </row>
    <row r="249" spans="2:2" ht="14.25" customHeight="1" x14ac:dyDescent="0.35">
      <c r="B249" s="5"/>
    </row>
    <row r="250" spans="2:2" ht="14.25" customHeight="1" x14ac:dyDescent="0.35">
      <c r="B250" s="5"/>
    </row>
    <row r="251" spans="2:2" ht="14.25" customHeight="1" x14ac:dyDescent="0.35">
      <c r="B251" s="5"/>
    </row>
    <row r="252" spans="2:2" ht="14.25" customHeight="1" x14ac:dyDescent="0.35"/>
    <row r="253" spans="2:2" ht="14.25" customHeight="1" x14ac:dyDescent="0.35"/>
    <row r="254" spans="2:2" ht="14.25" customHeight="1" x14ac:dyDescent="0.35"/>
    <row r="255" spans="2:2" ht="14.25" customHeight="1" x14ac:dyDescent="0.35"/>
    <row r="256" spans="2:2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B2" sqref="B2"/>
    </sheetView>
  </sheetViews>
  <sheetFormatPr defaultColWidth="14.453125" defaultRowHeight="15" customHeight="1" x14ac:dyDescent="0.35"/>
  <cols>
    <col min="1" max="3" width="28" customWidth="1"/>
    <col min="4" max="4" width="26.54296875" customWidth="1"/>
    <col min="5" max="28" width="8.7265625" customWidth="1"/>
  </cols>
  <sheetData>
    <row r="1" spans="1:13" ht="14.25" customHeight="1" x14ac:dyDescent="0.35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509</v>
      </c>
      <c r="F1" s="1" t="s">
        <v>10</v>
      </c>
      <c r="G1" s="1" t="s">
        <v>532</v>
      </c>
      <c r="H1" s="9" t="s">
        <v>607</v>
      </c>
      <c r="I1" s="9" t="s">
        <v>608</v>
      </c>
      <c r="J1" s="9" t="s">
        <v>609</v>
      </c>
      <c r="K1" s="9" t="s">
        <v>612</v>
      </c>
      <c r="L1" s="9" t="s">
        <v>561</v>
      </c>
    </row>
    <row r="2" spans="1:13" ht="14.25" customHeight="1" x14ac:dyDescent="0.35">
      <c r="A2" s="3" t="s">
        <v>32</v>
      </c>
      <c r="B2" s="22" t="s">
        <v>533</v>
      </c>
      <c r="C2" s="22" t="s">
        <v>266</v>
      </c>
      <c r="D2" s="3" t="s">
        <v>534</v>
      </c>
      <c r="E2" s="3">
        <v>85000</v>
      </c>
      <c r="F2" s="3">
        <v>950000</v>
      </c>
      <c r="G2" s="3">
        <v>0.45</v>
      </c>
      <c r="H2">
        <v>0</v>
      </c>
      <c r="I2">
        <v>0</v>
      </c>
      <c r="J2" s="20" t="e">
        <f>(H2-I2)/I2</f>
        <v>#DIV/0!</v>
      </c>
      <c r="L2">
        <v>926462</v>
      </c>
      <c r="M2" t="e" cm="1">
        <f t="array" ref="M2">SUMPRODUCT(('Engagement Summary'!$D:$D)*('Engagement Summary'!$B:$B&gt;='Campaign Metadata'!B2)*('Engagement Summary'!$B:$B &lt;('Campaign Metadata'!C2+1)))</f>
        <v>#VALUE!</v>
      </c>
    </row>
    <row r="3" spans="1:13" ht="14.25" customHeight="1" x14ac:dyDescent="0.35">
      <c r="A3" s="3" t="s">
        <v>55</v>
      </c>
      <c r="B3" s="22" t="s">
        <v>535</v>
      </c>
      <c r="C3" s="22" t="s">
        <v>536</v>
      </c>
      <c r="D3" s="3" t="s">
        <v>537</v>
      </c>
      <c r="E3" s="3">
        <v>60000</v>
      </c>
      <c r="F3" s="3">
        <v>780000</v>
      </c>
      <c r="G3" s="3">
        <v>0.38</v>
      </c>
      <c r="H3">
        <v>0</v>
      </c>
      <c r="I3">
        <v>0</v>
      </c>
      <c r="J3" s="20" t="e">
        <f t="shared" ref="J3:J5" si="0">(H3-I3)/I3</f>
        <v>#DIV/0!</v>
      </c>
      <c r="L3" s="15">
        <v>652233</v>
      </c>
      <c r="M3" t="e" cm="1">
        <f t="array" ref="M3">SUMPRODUCT(('Engagement Summary'!$D:$D)*('Engagement Summary'!$B:$B&gt;='Campaign Metadata'!B3)*('Engagement Summary'!$B:$B &lt;('Campaign Metadata'!C3+1)))</f>
        <v>#VALUE!</v>
      </c>
    </row>
    <row r="4" spans="1:13" ht="14.25" customHeight="1" x14ac:dyDescent="0.35">
      <c r="A4" s="3" t="s">
        <v>17</v>
      </c>
      <c r="B4" s="22" t="s">
        <v>538</v>
      </c>
      <c r="C4" s="22" t="s">
        <v>249</v>
      </c>
      <c r="D4" s="3" t="s">
        <v>539</v>
      </c>
      <c r="E4" s="3">
        <v>55000</v>
      </c>
      <c r="F4" s="3">
        <v>700000</v>
      </c>
      <c r="G4" s="3">
        <v>0.41</v>
      </c>
      <c r="H4">
        <v>0</v>
      </c>
      <c r="I4">
        <v>0</v>
      </c>
      <c r="J4" s="20" t="e">
        <f t="shared" si="0"/>
        <v>#DIV/0!</v>
      </c>
      <c r="L4" s="15">
        <v>991433</v>
      </c>
      <c r="M4" t="e" cm="1">
        <f t="array" ref="M4">SUMPRODUCT(('Engagement Summary'!$D:$D)*('Engagement Summary'!$B:$B&gt;='Campaign Metadata'!B4)*('Engagement Summary'!$B:$B &lt;('Campaign Metadata'!C4+1)))</f>
        <v>#VALUE!</v>
      </c>
    </row>
    <row r="5" spans="1:13" ht="14.25" customHeight="1" x14ac:dyDescent="0.35">
      <c r="A5" s="3" t="s">
        <v>27</v>
      </c>
      <c r="B5" s="22" t="s">
        <v>540</v>
      </c>
      <c r="C5" s="22" t="s">
        <v>525</v>
      </c>
      <c r="D5" s="3" t="s">
        <v>541</v>
      </c>
      <c r="E5" s="3">
        <v>40000</v>
      </c>
      <c r="F5" s="3">
        <v>550000</v>
      </c>
      <c r="G5" s="3">
        <v>0.32</v>
      </c>
      <c r="H5">
        <v>0</v>
      </c>
      <c r="I5">
        <v>0</v>
      </c>
      <c r="J5" s="20" t="e">
        <f t="shared" si="0"/>
        <v>#DIV/0!</v>
      </c>
      <c r="L5" s="15">
        <v>879891</v>
      </c>
      <c r="M5" t="e" cm="1">
        <f t="array" ref="M5">SUMPRODUCT(('Engagement Summary'!$D:$D)*('Engagement Summary'!$B:$B&gt;='Campaign Metadata'!B5)*('Engagement Summary'!$B:$B &lt;('Campaign Metadata'!C5+1)))</f>
        <v>#VALUE!</v>
      </c>
    </row>
    <row r="6" spans="1:13" ht="14.25" customHeight="1" x14ac:dyDescent="0.35">
      <c r="A6" s="3" t="s">
        <v>21</v>
      </c>
      <c r="B6" s="21">
        <v>45901</v>
      </c>
      <c r="C6" s="21">
        <v>45930</v>
      </c>
      <c r="D6" s="3" t="s">
        <v>542</v>
      </c>
      <c r="E6" s="3">
        <v>75000</v>
      </c>
      <c r="F6" s="3">
        <v>880000</v>
      </c>
      <c r="G6" s="3">
        <v>0.47</v>
      </c>
      <c r="H6">
        <v>918031</v>
      </c>
      <c r="I6">
        <v>0</v>
      </c>
      <c r="J6" s="20" t="e">
        <f>H6-I6/I6</f>
        <v>#DIV/0!</v>
      </c>
      <c r="L6">
        <v>1051098</v>
      </c>
      <c r="M6" t="e" cm="1">
        <f t="array" ref="M6">SUMPRODUCT(('Engagement Summary'!$D:$D)*('Engagement Summary'!$B:$B&gt;='Campaign Metadata'!B6)*('Engagement Summary'!$B:$B &lt;('Campaign Metadata'!C6+1)))</f>
        <v>#VALUE!</v>
      </c>
    </row>
    <row r="7" spans="1:13" ht="14.25" customHeight="1" x14ac:dyDescent="0.35"/>
    <row r="8" spans="1:13" ht="14.25" customHeight="1" x14ac:dyDescent="0.35"/>
    <row r="9" spans="1:13" ht="14.25" customHeight="1" x14ac:dyDescent="0.35"/>
    <row r="10" spans="1:13" ht="14.25" customHeight="1" x14ac:dyDescent="0.35"/>
    <row r="11" spans="1:13" ht="14.25" customHeight="1" x14ac:dyDescent="0.35"/>
    <row r="12" spans="1:13" ht="14.25" customHeight="1" x14ac:dyDescent="0.35"/>
    <row r="13" spans="1:13" ht="14.25" customHeight="1" x14ac:dyDescent="0.35"/>
    <row r="14" spans="1:13" ht="14.25" customHeight="1" x14ac:dyDescent="0.35"/>
    <row r="15" spans="1:13" ht="14.25" customHeight="1" x14ac:dyDescent="0.35"/>
    <row r="16" spans="1:1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4326-652E-4B90-A473-152EFED8ADCB}">
  <dimension ref="A1:B12"/>
  <sheetViews>
    <sheetView workbookViewId="0">
      <selection activeCell="F9" sqref="F9"/>
    </sheetView>
  </sheetViews>
  <sheetFormatPr defaultRowHeight="14.5" x14ac:dyDescent="0.35"/>
  <cols>
    <col min="1" max="1" width="12.36328125" bestFit="1" customWidth="1"/>
    <col min="2" max="2" width="17.6328125" bestFit="1" customWidth="1"/>
  </cols>
  <sheetData>
    <row r="1" spans="1:2" x14ac:dyDescent="0.35">
      <c r="A1" s="13" t="s">
        <v>559</v>
      </c>
      <c r="B1" t="s">
        <v>562</v>
      </c>
    </row>
    <row r="2" spans="1:2" x14ac:dyDescent="0.35">
      <c r="A2" s="14" t="s">
        <v>12</v>
      </c>
      <c r="B2" s="15">
        <v>26466</v>
      </c>
    </row>
    <row r="3" spans="1:2" x14ac:dyDescent="0.35">
      <c r="A3" s="14" t="s">
        <v>209</v>
      </c>
      <c r="B3" s="15">
        <v>26469</v>
      </c>
    </row>
    <row r="4" spans="1:2" x14ac:dyDescent="0.35">
      <c r="A4" s="14" t="s">
        <v>218</v>
      </c>
      <c r="B4" s="15">
        <v>26128</v>
      </c>
    </row>
    <row r="5" spans="1:2" x14ac:dyDescent="0.35">
      <c r="A5" s="14" t="s">
        <v>247</v>
      </c>
      <c r="B5" s="15">
        <v>26206</v>
      </c>
    </row>
    <row r="6" spans="1:2" x14ac:dyDescent="0.35">
      <c r="A6" s="14" t="s">
        <v>263</v>
      </c>
      <c r="B6" s="15">
        <v>25774</v>
      </c>
    </row>
    <row r="7" spans="1:2" x14ac:dyDescent="0.35">
      <c r="A7" s="14" t="s">
        <v>283</v>
      </c>
      <c r="B7" s="15">
        <v>25763</v>
      </c>
    </row>
    <row r="8" spans="1:2" x14ac:dyDescent="0.35">
      <c r="A8" s="14" t="s">
        <v>291</v>
      </c>
      <c r="B8" s="15">
        <v>25652</v>
      </c>
    </row>
    <row r="9" spans="1:2" x14ac:dyDescent="0.35">
      <c r="A9" s="14" t="s">
        <v>454</v>
      </c>
      <c r="B9" s="15">
        <v>26026</v>
      </c>
    </row>
    <row r="10" spans="1:2" x14ac:dyDescent="0.35">
      <c r="A10" s="14" t="s">
        <v>113</v>
      </c>
      <c r="B10" s="15">
        <v>26198</v>
      </c>
    </row>
    <row r="11" spans="1:2" x14ac:dyDescent="0.35">
      <c r="A11" s="14" t="s">
        <v>157</v>
      </c>
      <c r="B11" s="15">
        <v>25907</v>
      </c>
    </row>
    <row r="12" spans="1:2" x14ac:dyDescent="0.35">
      <c r="A12" s="14" t="s">
        <v>560</v>
      </c>
      <c r="B12" s="15">
        <v>260589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F95F-9D47-465E-BE63-22BA01204C46}">
  <dimension ref="A1:P8"/>
  <sheetViews>
    <sheetView workbookViewId="0">
      <selection activeCell="F3" sqref="F3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6.26953125" bestFit="1" customWidth="1"/>
    <col min="4" max="4" width="12.6328125" bestFit="1" customWidth="1"/>
    <col min="5" max="5" width="11.1796875" bestFit="1" customWidth="1"/>
    <col min="6" max="6" width="16.26953125" bestFit="1" customWidth="1"/>
    <col min="7" max="7" width="12.6328125" bestFit="1" customWidth="1"/>
    <col min="8" max="8" width="11.1796875" bestFit="1" customWidth="1"/>
    <col min="9" max="9" width="16.26953125" bestFit="1" customWidth="1"/>
    <col min="10" max="10" width="12.6328125" bestFit="1" customWidth="1"/>
    <col min="11" max="11" width="11.1796875" bestFit="1" customWidth="1"/>
    <col min="12" max="12" width="16.26953125" bestFit="1" customWidth="1"/>
    <col min="13" max="13" width="12.6328125" bestFit="1" customWidth="1"/>
    <col min="14" max="14" width="16" bestFit="1" customWidth="1"/>
    <col min="15" max="15" width="21.1796875" bestFit="1" customWidth="1"/>
    <col min="16" max="16" width="17.54296875" bestFit="1" customWidth="1"/>
  </cols>
  <sheetData>
    <row r="1" spans="1:16" x14ac:dyDescent="0.35">
      <c r="B1" s="13" t="s">
        <v>563</v>
      </c>
    </row>
    <row r="2" spans="1:16" x14ac:dyDescent="0.35">
      <c r="B2" t="s">
        <v>38</v>
      </c>
      <c r="E2" t="s">
        <v>15</v>
      </c>
      <c r="H2" t="s">
        <v>25</v>
      </c>
      <c r="K2" t="s">
        <v>30</v>
      </c>
      <c r="N2" t="s">
        <v>565</v>
      </c>
      <c r="O2" t="s">
        <v>568</v>
      </c>
      <c r="P2" t="s">
        <v>566</v>
      </c>
    </row>
    <row r="3" spans="1:16" x14ac:dyDescent="0.35">
      <c r="A3" s="13" t="s">
        <v>559</v>
      </c>
      <c r="B3" t="s">
        <v>564</v>
      </c>
      <c r="C3" t="s">
        <v>569</v>
      </c>
      <c r="D3" t="s">
        <v>567</v>
      </c>
      <c r="E3" t="s">
        <v>564</v>
      </c>
      <c r="F3" t="s">
        <v>569</v>
      </c>
      <c r="G3" t="s">
        <v>567</v>
      </c>
      <c r="H3" t="s">
        <v>564</v>
      </c>
      <c r="I3" t="s">
        <v>569</v>
      </c>
      <c r="J3" t="s">
        <v>567</v>
      </c>
      <c r="K3" t="s">
        <v>564</v>
      </c>
      <c r="L3" t="s">
        <v>569</v>
      </c>
      <c r="M3" t="s">
        <v>567</v>
      </c>
    </row>
    <row r="4" spans="1:16" x14ac:dyDescent="0.35">
      <c r="A4" s="14" t="s">
        <v>23</v>
      </c>
      <c r="B4" s="15">
        <v>278757</v>
      </c>
      <c r="C4" s="15">
        <v>13676</v>
      </c>
      <c r="D4" s="15">
        <v>16508</v>
      </c>
      <c r="E4" s="15">
        <v>218031</v>
      </c>
      <c r="F4" s="15">
        <v>10389</v>
      </c>
      <c r="G4" s="15">
        <v>18753</v>
      </c>
      <c r="H4" s="15">
        <v>206053</v>
      </c>
      <c r="I4" s="15">
        <v>9295</v>
      </c>
      <c r="J4" s="15">
        <v>14750</v>
      </c>
      <c r="K4" s="15">
        <v>244355</v>
      </c>
      <c r="L4" s="15">
        <v>7426</v>
      </c>
      <c r="M4" s="15">
        <v>13194</v>
      </c>
      <c r="N4" s="15">
        <v>947196</v>
      </c>
      <c r="O4" s="15">
        <v>40786</v>
      </c>
      <c r="P4" s="15">
        <v>63205</v>
      </c>
    </row>
    <row r="5" spans="1:16" x14ac:dyDescent="0.35">
      <c r="A5" s="14" t="s">
        <v>19</v>
      </c>
      <c r="B5" s="15">
        <v>246297</v>
      </c>
      <c r="C5" s="15">
        <v>12611</v>
      </c>
      <c r="D5" s="15">
        <v>18856</v>
      </c>
      <c r="E5" s="15">
        <v>329722</v>
      </c>
      <c r="F5" s="15">
        <v>14305</v>
      </c>
      <c r="G5" s="15">
        <v>19905</v>
      </c>
      <c r="H5" s="15">
        <v>279588</v>
      </c>
      <c r="I5" s="15">
        <v>11014</v>
      </c>
      <c r="J5" s="15">
        <v>17963</v>
      </c>
      <c r="K5" s="15">
        <v>278759</v>
      </c>
      <c r="L5" s="15">
        <v>11770</v>
      </c>
      <c r="M5" s="15">
        <v>14236</v>
      </c>
      <c r="N5" s="15">
        <v>1134366</v>
      </c>
      <c r="O5" s="15">
        <v>49700</v>
      </c>
      <c r="P5" s="15">
        <v>70960</v>
      </c>
    </row>
    <row r="6" spans="1:16" x14ac:dyDescent="0.35">
      <c r="A6" s="14" t="s">
        <v>46</v>
      </c>
      <c r="B6" s="15">
        <v>394886</v>
      </c>
      <c r="C6" s="15">
        <v>14381</v>
      </c>
      <c r="D6" s="15">
        <v>21298</v>
      </c>
      <c r="E6" s="15">
        <v>148676</v>
      </c>
      <c r="F6" s="15">
        <v>6092</v>
      </c>
      <c r="G6" s="15">
        <v>7832</v>
      </c>
      <c r="H6" s="15">
        <v>249305</v>
      </c>
      <c r="I6" s="15">
        <v>9160</v>
      </c>
      <c r="J6" s="15">
        <v>15862</v>
      </c>
      <c r="K6" s="15">
        <v>244756</v>
      </c>
      <c r="L6" s="15">
        <v>9640</v>
      </c>
      <c r="M6" s="15">
        <v>14669</v>
      </c>
      <c r="N6" s="15">
        <v>1037623</v>
      </c>
      <c r="O6" s="15">
        <v>39273</v>
      </c>
      <c r="P6" s="15">
        <v>59661</v>
      </c>
    </row>
    <row r="7" spans="1:16" x14ac:dyDescent="0.35">
      <c r="A7" s="14" t="s">
        <v>13</v>
      </c>
      <c r="B7" s="15">
        <v>279732</v>
      </c>
      <c r="C7" s="15">
        <v>13714</v>
      </c>
      <c r="D7" s="15">
        <v>24668</v>
      </c>
      <c r="E7" s="15">
        <v>195079</v>
      </c>
      <c r="F7" s="15">
        <v>8277</v>
      </c>
      <c r="G7" s="15">
        <v>10604</v>
      </c>
      <c r="H7" s="15">
        <v>187129</v>
      </c>
      <c r="I7" s="15">
        <v>8101</v>
      </c>
      <c r="J7" s="15">
        <v>14136</v>
      </c>
      <c r="K7" s="15">
        <v>286318</v>
      </c>
      <c r="L7" s="15">
        <v>12537</v>
      </c>
      <c r="M7" s="15">
        <v>18052</v>
      </c>
      <c r="N7" s="15">
        <v>948258</v>
      </c>
      <c r="O7" s="15">
        <v>42629</v>
      </c>
      <c r="P7" s="15">
        <v>67460</v>
      </c>
    </row>
    <row r="8" spans="1:16" x14ac:dyDescent="0.35">
      <c r="A8" s="14" t="s">
        <v>560</v>
      </c>
      <c r="B8" s="15">
        <v>1199672</v>
      </c>
      <c r="C8" s="15">
        <v>54382</v>
      </c>
      <c r="D8" s="15">
        <v>81330</v>
      </c>
      <c r="E8" s="15">
        <v>891508</v>
      </c>
      <c r="F8" s="15">
        <v>39063</v>
      </c>
      <c r="G8" s="15">
        <v>57094</v>
      </c>
      <c r="H8" s="15">
        <v>922075</v>
      </c>
      <c r="I8" s="15">
        <v>37570</v>
      </c>
      <c r="J8" s="15">
        <v>62711</v>
      </c>
      <c r="K8" s="15">
        <v>1054188</v>
      </c>
      <c r="L8" s="15">
        <v>41373</v>
      </c>
      <c r="M8" s="15">
        <v>60151</v>
      </c>
      <c r="N8" s="15">
        <v>4067443</v>
      </c>
      <c r="O8" s="15">
        <v>172388</v>
      </c>
      <c r="P8" s="15">
        <v>261286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DBAF-4A51-4659-B903-B9E00EAA722B}">
  <dimension ref="A1:B14"/>
  <sheetViews>
    <sheetView workbookViewId="0">
      <selection activeCell="E10" sqref="E10"/>
    </sheetView>
  </sheetViews>
  <sheetFormatPr defaultRowHeight="14.5" x14ac:dyDescent="0.35"/>
  <cols>
    <col min="1" max="1" width="32" bestFit="1" customWidth="1"/>
    <col min="2" max="2" width="14.90625" bestFit="1" customWidth="1"/>
  </cols>
  <sheetData>
    <row r="1" spans="1:2" x14ac:dyDescent="0.35">
      <c r="A1" s="13" t="s">
        <v>559</v>
      </c>
      <c r="B1" t="s">
        <v>570</v>
      </c>
    </row>
    <row r="2" spans="1:2" x14ac:dyDescent="0.35">
      <c r="A2" s="14" t="s">
        <v>26</v>
      </c>
      <c r="B2" s="15">
        <v>1592.72</v>
      </c>
    </row>
    <row r="3" spans="1:2" x14ac:dyDescent="0.35">
      <c r="A3" s="14" t="s">
        <v>31</v>
      </c>
      <c r="B3" s="15">
        <v>1477.2631578947369</v>
      </c>
    </row>
    <row r="4" spans="1:2" x14ac:dyDescent="0.35">
      <c r="A4" s="14" t="s">
        <v>62</v>
      </c>
      <c r="B4" s="15">
        <v>1579.4375</v>
      </c>
    </row>
    <row r="5" spans="1:2" x14ac:dyDescent="0.35">
      <c r="A5" s="14" t="s">
        <v>39</v>
      </c>
      <c r="B5" s="15">
        <v>1463.2941176470588</v>
      </c>
    </row>
    <row r="6" spans="1:2" x14ac:dyDescent="0.35">
      <c r="A6" s="14" t="s">
        <v>42</v>
      </c>
      <c r="B6" s="15">
        <v>1711.5135135135135</v>
      </c>
    </row>
    <row r="7" spans="1:2" x14ac:dyDescent="0.35">
      <c r="A7" s="14" t="s">
        <v>16</v>
      </c>
      <c r="B7" s="15">
        <v>1674.96</v>
      </c>
    </row>
    <row r="8" spans="1:2" x14ac:dyDescent="0.35">
      <c r="A8" s="14" t="s">
        <v>48</v>
      </c>
      <c r="B8" s="15">
        <v>1811.3103448275863</v>
      </c>
    </row>
    <row r="9" spans="1:2" x14ac:dyDescent="0.35">
      <c r="A9" s="14" t="s">
        <v>70</v>
      </c>
      <c r="B9" s="15">
        <v>1706.76</v>
      </c>
    </row>
    <row r="10" spans="1:2" x14ac:dyDescent="0.35">
      <c r="A10" s="14" t="s">
        <v>20</v>
      </c>
      <c r="B10" s="15">
        <v>1680.3571428571429</v>
      </c>
    </row>
    <row r="11" spans="1:2" x14ac:dyDescent="0.35">
      <c r="A11" s="14" t="s">
        <v>85</v>
      </c>
      <c r="B11" s="15">
        <v>1289.4117647058824</v>
      </c>
    </row>
    <row r="12" spans="1:2" x14ac:dyDescent="0.35">
      <c r="A12" s="14" t="s">
        <v>35</v>
      </c>
      <c r="B12" s="15">
        <v>1592.9375</v>
      </c>
    </row>
    <row r="13" spans="1:2" x14ac:dyDescent="0.35">
      <c r="A13" s="14" t="s">
        <v>169</v>
      </c>
      <c r="B13" s="15">
        <v>1459.3076923076924</v>
      </c>
    </row>
    <row r="14" spans="1:2" x14ac:dyDescent="0.35">
      <c r="A14" s="14" t="s">
        <v>560</v>
      </c>
      <c r="B14" s="15">
        <v>1606.6833333333334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EFFC-DCC2-49D3-8CD2-79C81CCD170F}">
  <dimension ref="A1:F9"/>
  <sheetViews>
    <sheetView workbookViewId="0">
      <selection activeCell="H15" sqref="H15"/>
    </sheetView>
  </sheetViews>
  <sheetFormatPr defaultRowHeight="14.5" x14ac:dyDescent="0.35"/>
  <cols>
    <col min="1" max="1" width="17.6328125" bestFit="1" customWidth="1"/>
    <col min="2" max="2" width="15.26953125" bestFit="1" customWidth="1"/>
    <col min="3" max="3" width="6.81640625" bestFit="1" customWidth="1"/>
    <col min="4" max="5" width="7.81640625" bestFit="1" customWidth="1"/>
    <col min="6" max="6" width="10.7265625" bestFit="1" customWidth="1"/>
  </cols>
  <sheetData>
    <row r="1" spans="1:6" x14ac:dyDescent="0.35">
      <c r="A1" s="13" t="s">
        <v>562</v>
      </c>
      <c r="B1" s="13" t="s">
        <v>563</v>
      </c>
    </row>
    <row r="2" spans="1:6" x14ac:dyDescent="0.35">
      <c r="A2" s="13" t="s">
        <v>559</v>
      </c>
      <c r="B2" t="s">
        <v>38</v>
      </c>
      <c r="C2" t="s">
        <v>15</v>
      </c>
      <c r="D2" t="s">
        <v>25</v>
      </c>
      <c r="E2" t="s">
        <v>30</v>
      </c>
      <c r="F2" t="s">
        <v>560</v>
      </c>
    </row>
    <row r="3" spans="1:6" x14ac:dyDescent="0.35">
      <c r="A3" s="14" t="s">
        <v>23</v>
      </c>
      <c r="B3" s="15">
        <v>308941</v>
      </c>
      <c r="C3" s="15">
        <v>247173</v>
      </c>
      <c r="D3" s="15">
        <v>230098</v>
      </c>
      <c r="E3" s="15">
        <v>264975</v>
      </c>
      <c r="F3" s="15">
        <v>1051187</v>
      </c>
    </row>
    <row r="4" spans="1:6" x14ac:dyDescent="0.35">
      <c r="A4" s="14" t="s">
        <v>19</v>
      </c>
      <c r="B4" s="15">
        <v>277764</v>
      </c>
      <c r="C4" s="15">
        <v>363932</v>
      </c>
      <c r="D4" s="15">
        <v>308565</v>
      </c>
      <c r="E4" s="15">
        <v>304765</v>
      </c>
      <c r="F4" s="15">
        <v>1255026</v>
      </c>
    </row>
    <row r="5" spans="1:6" x14ac:dyDescent="0.35">
      <c r="A5" s="14" t="s">
        <v>46</v>
      </c>
      <c r="B5" s="15">
        <v>430565</v>
      </c>
      <c r="C5" s="15">
        <v>162600</v>
      </c>
      <c r="D5" s="15">
        <v>274327</v>
      </c>
      <c r="E5" s="15">
        <v>269065</v>
      </c>
      <c r="F5" s="15">
        <v>1136557</v>
      </c>
    </row>
    <row r="6" spans="1:6" x14ac:dyDescent="0.35">
      <c r="A6" s="14" t="s">
        <v>13</v>
      </c>
      <c r="B6" s="15">
        <v>318114</v>
      </c>
      <c r="C6" s="15">
        <v>213960</v>
      </c>
      <c r="D6" s="15">
        <v>209366</v>
      </c>
      <c r="E6" s="15">
        <v>316907</v>
      </c>
      <c r="F6" s="15">
        <v>1058347</v>
      </c>
    </row>
    <row r="7" spans="1:6" x14ac:dyDescent="0.35">
      <c r="A7" s="14" t="s">
        <v>560</v>
      </c>
      <c r="B7" s="15">
        <v>1335384</v>
      </c>
      <c r="C7" s="15">
        <v>987665</v>
      </c>
      <c r="D7" s="15">
        <v>1022356</v>
      </c>
      <c r="E7" s="15">
        <v>1155712</v>
      </c>
      <c r="F7" s="15">
        <v>4501117</v>
      </c>
    </row>
    <row r="9" spans="1:6" x14ac:dyDescent="0.35">
      <c r="A9" s="14" t="s">
        <v>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5FF8-CBE0-4A63-B364-12241C2285DC}">
  <dimension ref="A1:F15"/>
  <sheetViews>
    <sheetView topLeftCell="C1" workbookViewId="0">
      <selection activeCell="P13" sqref="P13"/>
    </sheetView>
  </sheetViews>
  <sheetFormatPr defaultRowHeight="14.5" x14ac:dyDescent="0.35"/>
  <cols>
    <col min="1" max="1" width="20.54296875" bestFit="1" customWidth="1"/>
    <col min="2" max="2" width="15.26953125" bestFit="1" customWidth="1"/>
    <col min="3" max="5" width="8.81640625" bestFit="1" customWidth="1"/>
    <col min="6" max="6" width="10.7265625" bestFit="1" customWidth="1"/>
  </cols>
  <sheetData>
    <row r="1" spans="1:6" x14ac:dyDescent="0.35">
      <c r="A1" s="13" t="s">
        <v>585</v>
      </c>
      <c r="B1" s="13" t="s">
        <v>563</v>
      </c>
    </row>
    <row r="2" spans="1:6" x14ac:dyDescent="0.35">
      <c r="A2" s="13" t="s">
        <v>559</v>
      </c>
      <c r="B2" t="s">
        <v>23</v>
      </c>
      <c r="C2" t="s">
        <v>19</v>
      </c>
      <c r="D2" t="s">
        <v>46</v>
      </c>
      <c r="E2" t="s">
        <v>13</v>
      </c>
      <c r="F2" t="s">
        <v>560</v>
      </c>
    </row>
    <row r="3" spans="1:6" x14ac:dyDescent="0.35">
      <c r="A3" s="14" t="s">
        <v>580</v>
      </c>
      <c r="B3">
        <v>1678970</v>
      </c>
      <c r="C3">
        <v>2442487</v>
      </c>
      <c r="D3">
        <v>6631554</v>
      </c>
      <c r="E3">
        <v>2462762</v>
      </c>
      <c r="F3">
        <v>13215773</v>
      </c>
    </row>
    <row r="4" spans="1:6" x14ac:dyDescent="0.35">
      <c r="A4" s="14" t="s">
        <v>581</v>
      </c>
      <c r="B4">
        <v>3749314</v>
      </c>
      <c r="C4">
        <v>3632808</v>
      </c>
      <c r="D4">
        <v>3595065</v>
      </c>
      <c r="E4">
        <v>3662672</v>
      </c>
      <c r="F4">
        <v>14639859</v>
      </c>
    </row>
    <row r="5" spans="1:6" x14ac:dyDescent="0.35">
      <c r="A5" s="14" t="s">
        <v>582</v>
      </c>
      <c r="B5">
        <v>3068302</v>
      </c>
      <c r="C5">
        <v>9209789</v>
      </c>
      <c r="D5">
        <v>4001105</v>
      </c>
      <c r="E5">
        <v>4067744</v>
      </c>
      <c r="F5">
        <v>20346940</v>
      </c>
    </row>
    <row r="6" spans="1:6" x14ac:dyDescent="0.35">
      <c r="A6" s="14" t="s">
        <v>583</v>
      </c>
      <c r="B6">
        <v>4463934</v>
      </c>
      <c r="C6">
        <v>6629107</v>
      </c>
      <c r="D6">
        <v>5654459</v>
      </c>
      <c r="E6">
        <v>1073082</v>
      </c>
      <c r="F6">
        <v>17820582</v>
      </c>
    </row>
    <row r="7" spans="1:6" x14ac:dyDescent="0.35">
      <c r="A7" s="14" t="s">
        <v>584</v>
      </c>
      <c r="B7">
        <v>2338827</v>
      </c>
      <c r="C7">
        <v>4669630</v>
      </c>
      <c r="D7">
        <v>1186398</v>
      </c>
      <c r="E7">
        <v>1157985</v>
      </c>
      <c r="F7">
        <v>9352840</v>
      </c>
    </row>
    <row r="8" spans="1:6" x14ac:dyDescent="0.35">
      <c r="A8" s="14" t="s">
        <v>573</v>
      </c>
      <c r="B8">
        <v>761843</v>
      </c>
      <c r="C8">
        <v>170518</v>
      </c>
      <c r="D8">
        <v>961762</v>
      </c>
      <c r="E8">
        <v>586819</v>
      </c>
      <c r="F8">
        <v>2480942</v>
      </c>
    </row>
    <row r="9" spans="1:6" x14ac:dyDescent="0.35">
      <c r="A9" s="14" t="s">
        <v>574</v>
      </c>
      <c r="B9">
        <v>950407</v>
      </c>
      <c r="C9">
        <v>2059655</v>
      </c>
      <c r="D9">
        <v>1282914</v>
      </c>
      <c r="E9">
        <v>845232</v>
      </c>
      <c r="F9">
        <v>5138208</v>
      </c>
    </row>
    <row r="10" spans="1:6" x14ac:dyDescent="0.35">
      <c r="A10" s="14" t="s">
        <v>575</v>
      </c>
      <c r="B10">
        <v>1748424</v>
      </c>
      <c r="C10">
        <v>692269</v>
      </c>
      <c r="D10">
        <v>1363921</v>
      </c>
      <c r="E10">
        <v>1776227</v>
      </c>
      <c r="F10">
        <v>5580841</v>
      </c>
    </row>
    <row r="11" spans="1:6" x14ac:dyDescent="0.35">
      <c r="A11" s="14" t="s">
        <v>576</v>
      </c>
      <c r="B11">
        <v>3575412</v>
      </c>
      <c r="C11">
        <v>1299882</v>
      </c>
      <c r="D11">
        <v>2295757</v>
      </c>
      <c r="E11">
        <v>1758174</v>
      </c>
      <c r="F11">
        <v>8929225</v>
      </c>
    </row>
    <row r="12" spans="1:6" x14ac:dyDescent="0.35">
      <c r="A12" s="14" t="s">
        <v>577</v>
      </c>
      <c r="B12">
        <v>2162853</v>
      </c>
      <c r="C12">
        <v>1663426</v>
      </c>
      <c r="D12">
        <v>1572941</v>
      </c>
      <c r="E12">
        <v>3214198</v>
      </c>
      <c r="F12">
        <v>8613418</v>
      </c>
    </row>
    <row r="13" spans="1:6" x14ac:dyDescent="0.35">
      <c r="A13" s="14" t="s">
        <v>578</v>
      </c>
      <c r="B13">
        <v>1948470</v>
      </c>
      <c r="C13">
        <v>3183897</v>
      </c>
      <c r="D13">
        <v>3063395</v>
      </c>
      <c r="E13">
        <v>1901467</v>
      </c>
      <c r="F13">
        <v>10097229</v>
      </c>
    </row>
    <row r="14" spans="1:6" x14ac:dyDescent="0.35">
      <c r="A14" s="14" t="s">
        <v>579</v>
      </c>
      <c r="B14">
        <v>4996266</v>
      </c>
      <c r="C14">
        <v>5114622</v>
      </c>
      <c r="D14">
        <v>2202932</v>
      </c>
      <c r="E14">
        <v>2151867</v>
      </c>
      <c r="F14">
        <v>14465687</v>
      </c>
    </row>
    <row r="15" spans="1:6" x14ac:dyDescent="0.35">
      <c r="A15" s="14" t="s">
        <v>560</v>
      </c>
      <c r="B15">
        <v>31443022</v>
      </c>
      <c r="C15">
        <v>40768090</v>
      </c>
      <c r="D15">
        <v>33812203</v>
      </c>
      <c r="E15">
        <v>24658229</v>
      </c>
      <c r="F15">
        <v>130681544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E857-94D2-481C-B150-28CBEBEA57FC}">
  <dimension ref="A1:F7"/>
  <sheetViews>
    <sheetView workbookViewId="0">
      <selection activeCell="I8" sqref="I8"/>
    </sheetView>
  </sheetViews>
  <sheetFormatPr defaultRowHeight="14.5" x14ac:dyDescent="0.35"/>
  <cols>
    <col min="1" max="1" width="22" bestFit="1" customWidth="1"/>
    <col min="2" max="2" width="15.26953125" bestFit="1" customWidth="1"/>
    <col min="3" max="4" width="6.81640625" bestFit="1" customWidth="1"/>
    <col min="5" max="5" width="7.81640625" bestFit="1" customWidth="1"/>
    <col min="6" max="6" width="10.7265625" bestFit="1" customWidth="1"/>
  </cols>
  <sheetData>
    <row r="1" spans="1:6" x14ac:dyDescent="0.35">
      <c r="A1" s="13" t="s">
        <v>586</v>
      </c>
      <c r="B1" s="13" t="s">
        <v>563</v>
      </c>
    </row>
    <row r="2" spans="1:6" x14ac:dyDescent="0.35">
      <c r="A2" s="13" t="s">
        <v>559</v>
      </c>
      <c r="B2" t="s">
        <v>38</v>
      </c>
      <c r="C2" t="s">
        <v>15</v>
      </c>
      <c r="D2" t="s">
        <v>25</v>
      </c>
      <c r="E2" t="s">
        <v>30</v>
      </c>
      <c r="F2" t="s">
        <v>560</v>
      </c>
    </row>
    <row r="3" spans="1:6" x14ac:dyDescent="0.35">
      <c r="A3" s="14" t="s">
        <v>23</v>
      </c>
      <c r="B3" s="15">
        <v>295265.12353496632</v>
      </c>
      <c r="C3" s="15">
        <v>236784.08550839126</v>
      </c>
      <c r="D3" s="15">
        <v>220803.0875485526</v>
      </c>
      <c r="E3" s="15">
        <v>257549.08007349889</v>
      </c>
      <c r="F3" s="15">
        <v>1010401.376665409</v>
      </c>
    </row>
    <row r="4" spans="1:6" x14ac:dyDescent="0.35">
      <c r="A4" s="14" t="s">
        <v>19</v>
      </c>
      <c r="B4" s="15">
        <v>265153.10082156322</v>
      </c>
      <c r="C4" s="15">
        <v>349627.1174276573</v>
      </c>
      <c r="D4" s="15">
        <v>297551.08976403979</v>
      </c>
      <c r="E4" s="15">
        <v>292995.09797461407</v>
      </c>
      <c r="F4" s="15">
        <v>1205326.4059878744</v>
      </c>
    </row>
    <row r="5" spans="1:6" x14ac:dyDescent="0.35">
      <c r="A5" s="14" t="s">
        <v>46</v>
      </c>
      <c r="B5" s="15">
        <v>416184.13181315531</v>
      </c>
      <c r="C5" s="15">
        <v>156508.0648511021</v>
      </c>
      <c r="D5" s="15">
        <v>265167.07811739051</v>
      </c>
      <c r="E5" s="15">
        <v>259425.08582132365</v>
      </c>
      <c r="F5" s="15">
        <v>1097284.3606029716</v>
      </c>
    </row>
    <row r="6" spans="1:6" x14ac:dyDescent="0.35">
      <c r="A6" s="14" t="s">
        <v>13</v>
      </c>
      <c r="B6" s="15">
        <v>304400.10925824055</v>
      </c>
      <c r="C6" s="15">
        <v>205683.05631454839</v>
      </c>
      <c r="D6" s="15">
        <v>201265.07531164872</v>
      </c>
      <c r="E6" s="15">
        <v>304370.10964978684</v>
      </c>
      <c r="F6" s="15">
        <v>1015718.3505342245</v>
      </c>
    </row>
    <row r="7" spans="1:6" x14ac:dyDescent="0.35">
      <c r="A7" s="14" t="s">
        <v>560</v>
      </c>
      <c r="B7" s="15">
        <v>1281002.4654279253</v>
      </c>
      <c r="C7" s="15">
        <v>948602.32410169905</v>
      </c>
      <c r="D7" s="15">
        <v>984786.33074163157</v>
      </c>
      <c r="E7" s="15">
        <v>1114339.3735192234</v>
      </c>
      <c r="F7" s="15">
        <v>4328730.4937904794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0CDF-6C75-4C6F-A82A-F3F04CF5BF4C}">
  <dimension ref="A1:C24"/>
  <sheetViews>
    <sheetView workbookViewId="0">
      <selection activeCell="O7" sqref="O7"/>
    </sheetView>
  </sheetViews>
  <sheetFormatPr defaultRowHeight="14.5" x14ac:dyDescent="0.35"/>
  <cols>
    <col min="1" max="1" width="12.36328125" bestFit="1" customWidth="1"/>
    <col min="2" max="2" width="28.26953125" bestFit="1" customWidth="1"/>
    <col min="3" max="3" width="22.453125" bestFit="1" customWidth="1"/>
  </cols>
  <sheetData>
    <row r="1" spans="1:3" x14ac:dyDescent="0.35">
      <c r="A1" s="13" t="s">
        <v>559</v>
      </c>
      <c r="B1" t="s">
        <v>590</v>
      </c>
      <c r="C1" t="s">
        <v>591</v>
      </c>
    </row>
    <row r="2" spans="1:3" x14ac:dyDescent="0.35">
      <c r="A2" s="14" t="s">
        <v>23</v>
      </c>
      <c r="B2" s="15">
        <v>13.154964367396786</v>
      </c>
      <c r="C2">
        <v>1168239</v>
      </c>
    </row>
    <row r="3" spans="1:3" x14ac:dyDescent="0.35">
      <c r="A3" s="18" t="s">
        <v>38</v>
      </c>
      <c r="B3" s="15">
        <v>13.961785082386916</v>
      </c>
      <c r="C3">
        <v>343280</v>
      </c>
    </row>
    <row r="4" spans="1:3" x14ac:dyDescent="0.35">
      <c r="A4" s="18" t="s">
        <v>15</v>
      </c>
      <c r="B4" s="15">
        <v>10.377515073291898</v>
      </c>
      <c r="C4">
        <v>276109</v>
      </c>
    </row>
    <row r="5" spans="1:3" x14ac:dyDescent="0.35">
      <c r="A5" s="18" t="s">
        <v>25</v>
      </c>
      <c r="B5" s="15">
        <v>13.337018443894587</v>
      </c>
      <c r="C5">
        <v>258058</v>
      </c>
    </row>
    <row r="6" spans="1:3" x14ac:dyDescent="0.35">
      <c r="A6" s="18" t="s">
        <v>30</v>
      </c>
      <c r="B6" s="15">
        <v>15.217794897093741</v>
      </c>
      <c r="C6">
        <v>290792</v>
      </c>
    </row>
    <row r="7" spans="1:3" x14ac:dyDescent="0.35">
      <c r="A7" s="14" t="s">
        <v>19</v>
      </c>
      <c r="B7" s="15">
        <v>13.775312619539152</v>
      </c>
      <c r="C7">
        <v>1390876</v>
      </c>
    </row>
    <row r="8" spans="1:3" x14ac:dyDescent="0.35">
      <c r="A8" s="18" t="s">
        <v>38</v>
      </c>
      <c r="B8" s="15">
        <v>12.250809032431249</v>
      </c>
      <c r="C8">
        <v>312259</v>
      </c>
    </row>
    <row r="9" spans="1:3" x14ac:dyDescent="0.35">
      <c r="A9" s="18" t="s">
        <v>15</v>
      </c>
      <c r="B9" s="15">
        <v>13.468316103106417</v>
      </c>
      <c r="C9">
        <v>404925</v>
      </c>
    </row>
    <row r="10" spans="1:3" x14ac:dyDescent="0.35">
      <c r="A10" s="18" t="s">
        <v>25</v>
      </c>
      <c r="B10" s="15">
        <v>12.666457250194989</v>
      </c>
      <c r="C10">
        <v>341726</v>
      </c>
    </row>
    <row r="11" spans="1:3" x14ac:dyDescent="0.35">
      <c r="A11" s="18" t="s">
        <v>30</v>
      </c>
      <c r="B11" s="15">
        <v>17.04899262809932</v>
      </c>
      <c r="C11">
        <v>331966</v>
      </c>
    </row>
    <row r="12" spans="1:3" x14ac:dyDescent="0.35">
      <c r="A12" s="14" t="s">
        <v>46</v>
      </c>
      <c r="B12" s="15">
        <v>15.154620464756098</v>
      </c>
      <c r="C12">
        <v>1241294</v>
      </c>
    </row>
    <row r="13" spans="1:3" x14ac:dyDescent="0.35">
      <c r="A13" s="18" t="s">
        <v>38</v>
      </c>
      <c r="B13" s="15">
        <v>15.49772437001096</v>
      </c>
      <c r="C13">
        <v>471930</v>
      </c>
    </row>
    <row r="14" spans="1:3" x14ac:dyDescent="0.35">
      <c r="A14" s="18" t="s">
        <v>15</v>
      </c>
      <c r="B14" s="15">
        <v>18.984144281315366</v>
      </c>
      <c r="C14">
        <v>174020</v>
      </c>
    </row>
    <row r="15" spans="1:3" x14ac:dyDescent="0.35">
      <c r="A15" s="18" t="s">
        <v>25</v>
      </c>
      <c r="B15" s="15">
        <v>12.886725613592565</v>
      </c>
      <c r="C15">
        <v>306682</v>
      </c>
    </row>
    <row r="16" spans="1:3" x14ac:dyDescent="0.35">
      <c r="A16" s="18" t="s">
        <v>30</v>
      </c>
      <c r="B16" s="15">
        <v>14.983666560441691</v>
      </c>
      <c r="C16">
        <v>288662</v>
      </c>
    </row>
    <row r="17" spans="1:3" x14ac:dyDescent="0.35">
      <c r="A17" s="14" t="s">
        <v>13</v>
      </c>
      <c r="B17" s="15">
        <v>12.52325664868534</v>
      </c>
      <c r="C17">
        <v>1182713</v>
      </c>
    </row>
    <row r="18" spans="1:3" x14ac:dyDescent="0.35">
      <c r="A18" s="18" t="s">
        <v>38</v>
      </c>
      <c r="B18" s="15">
        <v>12.272385372960009</v>
      </c>
      <c r="C18">
        <v>350839</v>
      </c>
    </row>
    <row r="19" spans="1:3" x14ac:dyDescent="0.35">
      <c r="A19" s="18" t="s">
        <v>15</v>
      </c>
      <c r="B19" s="15">
        <v>11.151928901565201</v>
      </c>
      <c r="C19">
        <v>238364</v>
      </c>
    </row>
    <row r="20" spans="1:3" x14ac:dyDescent="0.35">
      <c r="A20" s="18" t="s">
        <v>25</v>
      </c>
      <c r="B20" s="15">
        <v>12.101473600164539</v>
      </c>
      <c r="C20">
        <v>238586</v>
      </c>
    </row>
    <row r="21" spans="1:3" x14ac:dyDescent="0.35">
      <c r="A21" s="18" t="s">
        <v>30</v>
      </c>
      <c r="B21" s="15">
        <v>14.130929917688372</v>
      </c>
      <c r="C21">
        <v>354924</v>
      </c>
    </row>
    <row r="22" spans="1:3" x14ac:dyDescent="0.35">
      <c r="A22" s="14" t="s">
        <v>589</v>
      </c>
    </row>
    <row r="23" spans="1:3" x14ac:dyDescent="0.35">
      <c r="A23" s="18" t="s">
        <v>589</v>
      </c>
    </row>
    <row r="24" spans="1:3" x14ac:dyDescent="0.35">
      <c r="A24" s="14" t="s">
        <v>560</v>
      </c>
      <c r="B24">
        <v>13.613575463074072</v>
      </c>
      <c r="C24">
        <v>4983122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77A3-F311-4060-8013-3A4EB7C21EA2}">
  <dimension ref="A1:F201"/>
  <sheetViews>
    <sheetView workbookViewId="0">
      <selection activeCell="D9" sqref="D9"/>
    </sheetView>
  </sheetViews>
  <sheetFormatPr defaultRowHeight="14.5" x14ac:dyDescent="0.35"/>
  <cols>
    <col min="1" max="1" width="17.6328125" bestFit="1" customWidth="1"/>
    <col min="2" max="2" width="15.26953125" bestFit="1" customWidth="1"/>
    <col min="3" max="5" width="9.81640625" bestFit="1" customWidth="1"/>
    <col min="6" max="6" width="10.81640625" hidden="1" customWidth="1"/>
    <col min="7" max="136" width="7.81640625" bestFit="1" customWidth="1"/>
    <col min="137" max="201" width="8.81640625" bestFit="1" customWidth="1"/>
    <col min="202" max="202" width="10.7265625" bestFit="1" customWidth="1"/>
  </cols>
  <sheetData>
    <row r="1" spans="1:6" x14ac:dyDescent="0.35">
      <c r="A1" s="13" t="s">
        <v>562</v>
      </c>
      <c r="B1" s="13" t="s">
        <v>563</v>
      </c>
    </row>
    <row r="2" spans="1:6" x14ac:dyDescent="0.35">
      <c r="A2" s="13" t="s">
        <v>559</v>
      </c>
      <c r="B2" t="s">
        <v>23</v>
      </c>
      <c r="C2" t="s">
        <v>19</v>
      </c>
      <c r="D2" t="s">
        <v>46</v>
      </c>
      <c r="E2" t="s">
        <v>13</v>
      </c>
      <c r="F2" t="s">
        <v>560</v>
      </c>
    </row>
    <row r="3" spans="1:6" x14ac:dyDescent="0.35">
      <c r="A3" s="14">
        <v>10161</v>
      </c>
      <c r="E3">
        <v>7579400.0000000009</v>
      </c>
      <c r="F3">
        <v>7579400.0000000009</v>
      </c>
    </row>
    <row r="4" spans="1:6" x14ac:dyDescent="0.35">
      <c r="A4" s="14">
        <v>10162</v>
      </c>
      <c r="E4">
        <v>14954400.000000004</v>
      </c>
      <c r="F4">
        <v>14954400.000000004</v>
      </c>
    </row>
    <row r="5" spans="1:6" x14ac:dyDescent="0.35">
      <c r="A5" s="14">
        <v>10541</v>
      </c>
      <c r="C5">
        <v>7784300.0000000019</v>
      </c>
      <c r="F5">
        <v>7784300.0000000019</v>
      </c>
    </row>
    <row r="6" spans="1:6" x14ac:dyDescent="0.35">
      <c r="A6" s="14">
        <v>11013</v>
      </c>
      <c r="B6">
        <v>2848900</v>
      </c>
      <c r="F6">
        <v>2848900</v>
      </c>
    </row>
    <row r="7" spans="1:6" x14ac:dyDescent="0.35">
      <c r="A7" s="14">
        <v>11171</v>
      </c>
      <c r="B7">
        <v>2484900</v>
      </c>
      <c r="F7">
        <v>2484900</v>
      </c>
    </row>
    <row r="8" spans="1:6" x14ac:dyDescent="0.35">
      <c r="A8" s="14">
        <v>11431</v>
      </c>
      <c r="C8">
        <v>9651599.9999999944</v>
      </c>
      <c r="F8">
        <v>9651599.9999999944</v>
      </c>
    </row>
    <row r="9" spans="1:6" x14ac:dyDescent="0.35">
      <c r="A9" s="14">
        <v>11619</v>
      </c>
      <c r="E9">
        <v>7799000</v>
      </c>
      <c r="F9">
        <v>7799000</v>
      </c>
    </row>
    <row r="10" spans="1:6" x14ac:dyDescent="0.35">
      <c r="A10" s="14">
        <v>11651</v>
      </c>
      <c r="E10">
        <v>12905200</v>
      </c>
      <c r="F10">
        <v>12905200</v>
      </c>
    </row>
    <row r="11" spans="1:6" x14ac:dyDescent="0.35">
      <c r="A11" s="14">
        <v>11828</v>
      </c>
      <c r="C11">
        <v>9181599.9999999981</v>
      </c>
      <c r="F11">
        <v>9181599.9999999981</v>
      </c>
    </row>
    <row r="12" spans="1:6" x14ac:dyDescent="0.35">
      <c r="A12" s="14">
        <v>12023</v>
      </c>
      <c r="D12">
        <v>5197099.9999999991</v>
      </c>
      <c r="F12">
        <v>5197099.9999999991</v>
      </c>
    </row>
    <row r="13" spans="1:6" x14ac:dyDescent="0.35">
      <c r="A13" s="14">
        <v>12096</v>
      </c>
      <c r="C13">
        <v>8622899.9999999963</v>
      </c>
      <c r="F13">
        <v>8622899.9999999963</v>
      </c>
    </row>
    <row r="14" spans="1:6" x14ac:dyDescent="0.35">
      <c r="A14" s="14">
        <v>12539</v>
      </c>
      <c r="D14">
        <v>13688800.000000006</v>
      </c>
      <c r="F14">
        <v>13688800.000000006</v>
      </c>
    </row>
    <row r="15" spans="1:6" x14ac:dyDescent="0.35">
      <c r="A15" s="14">
        <v>12563</v>
      </c>
      <c r="E15">
        <v>13277499.999999998</v>
      </c>
      <c r="F15">
        <v>13277499.999999998</v>
      </c>
    </row>
    <row r="16" spans="1:6" x14ac:dyDescent="0.35">
      <c r="A16" s="14">
        <v>12643</v>
      </c>
      <c r="E16">
        <v>6008500.0000000019</v>
      </c>
      <c r="F16">
        <v>6008500.0000000019</v>
      </c>
    </row>
    <row r="17" spans="1:6" x14ac:dyDescent="0.35">
      <c r="A17" s="14">
        <v>12839</v>
      </c>
      <c r="E17">
        <v>14925100.000000004</v>
      </c>
      <c r="F17">
        <v>14925100.000000004</v>
      </c>
    </row>
    <row r="18" spans="1:6" x14ac:dyDescent="0.35">
      <c r="A18" s="14">
        <v>13384</v>
      </c>
      <c r="D18">
        <v>5878100.0000000009</v>
      </c>
      <c r="F18">
        <v>5878100.0000000009</v>
      </c>
    </row>
    <row r="19" spans="1:6" x14ac:dyDescent="0.35">
      <c r="A19" s="14">
        <v>13390</v>
      </c>
      <c r="D19">
        <v>9908700</v>
      </c>
      <c r="F19">
        <v>9908700</v>
      </c>
    </row>
    <row r="20" spans="1:6" x14ac:dyDescent="0.35">
      <c r="A20" s="14">
        <v>13471</v>
      </c>
      <c r="B20">
        <v>1058700.0000000005</v>
      </c>
      <c r="F20">
        <v>1058700.0000000005</v>
      </c>
    </row>
    <row r="21" spans="1:6" x14ac:dyDescent="0.35">
      <c r="A21" s="14">
        <v>13586</v>
      </c>
      <c r="D21">
        <v>6782799.9999999991</v>
      </c>
      <c r="F21">
        <v>6782799.9999999991</v>
      </c>
    </row>
    <row r="22" spans="1:6" x14ac:dyDescent="0.35">
      <c r="A22" s="14">
        <v>15017</v>
      </c>
      <c r="C22">
        <v>13929499.999999998</v>
      </c>
      <c r="F22">
        <v>13929499.999999998</v>
      </c>
    </row>
    <row r="23" spans="1:6" x14ac:dyDescent="0.35">
      <c r="A23" s="14">
        <v>15105</v>
      </c>
      <c r="B23">
        <v>11293200.000000002</v>
      </c>
      <c r="F23">
        <v>11293200.000000002</v>
      </c>
    </row>
    <row r="24" spans="1:6" x14ac:dyDescent="0.35">
      <c r="A24" s="14">
        <v>15110</v>
      </c>
      <c r="B24">
        <v>1928299.9999999998</v>
      </c>
      <c r="F24">
        <v>1928299.9999999998</v>
      </c>
    </row>
    <row r="25" spans="1:6" x14ac:dyDescent="0.35">
      <c r="A25" s="14">
        <v>15347</v>
      </c>
      <c r="C25">
        <v>6630700.0000000009</v>
      </c>
      <c r="F25">
        <v>6630700.0000000009</v>
      </c>
    </row>
    <row r="26" spans="1:6" x14ac:dyDescent="0.35">
      <c r="A26" s="14">
        <v>15432</v>
      </c>
      <c r="C26">
        <v>3356700.0000000005</v>
      </c>
      <c r="F26">
        <v>3356700.0000000005</v>
      </c>
    </row>
    <row r="27" spans="1:6" x14ac:dyDescent="0.35">
      <c r="A27" s="14">
        <v>15469</v>
      </c>
      <c r="B27">
        <v>12045400</v>
      </c>
      <c r="F27">
        <v>12045400</v>
      </c>
    </row>
    <row r="28" spans="1:6" x14ac:dyDescent="0.35">
      <c r="A28" s="14">
        <v>15997</v>
      </c>
      <c r="C28">
        <v>4338000</v>
      </c>
      <c r="F28">
        <v>4338000</v>
      </c>
    </row>
    <row r="29" spans="1:6" x14ac:dyDescent="0.35">
      <c r="A29" s="14">
        <v>16256</v>
      </c>
      <c r="B29">
        <v>6439999.9999999991</v>
      </c>
      <c r="F29">
        <v>6439999.9999999991</v>
      </c>
    </row>
    <row r="30" spans="1:6" x14ac:dyDescent="0.35">
      <c r="A30" s="14">
        <v>16397</v>
      </c>
      <c r="C30">
        <v>11908899.999999998</v>
      </c>
      <c r="F30">
        <v>11908899.999999998</v>
      </c>
    </row>
    <row r="31" spans="1:6" x14ac:dyDescent="0.35">
      <c r="A31" s="14">
        <v>16643</v>
      </c>
      <c r="E31">
        <v>9544500</v>
      </c>
      <c r="F31">
        <v>9544500</v>
      </c>
    </row>
    <row r="32" spans="1:6" x14ac:dyDescent="0.35">
      <c r="A32" s="14">
        <v>17531</v>
      </c>
      <c r="D32">
        <v>13668800.000000002</v>
      </c>
      <c r="F32">
        <v>13668800.000000002</v>
      </c>
    </row>
    <row r="33" spans="1:6" x14ac:dyDescent="0.35">
      <c r="A33" s="14">
        <v>17710</v>
      </c>
      <c r="D33">
        <v>3274600</v>
      </c>
      <c r="F33">
        <v>3274600</v>
      </c>
    </row>
    <row r="34" spans="1:6" x14ac:dyDescent="0.35">
      <c r="A34" s="14">
        <v>17736</v>
      </c>
      <c r="E34">
        <v>8295400</v>
      </c>
      <c r="F34">
        <v>8295400</v>
      </c>
    </row>
    <row r="35" spans="1:6" x14ac:dyDescent="0.35">
      <c r="A35" s="14">
        <v>17896</v>
      </c>
      <c r="C35">
        <v>2394700.0000000005</v>
      </c>
      <c r="F35">
        <v>2394700.0000000005</v>
      </c>
    </row>
    <row r="36" spans="1:6" x14ac:dyDescent="0.35">
      <c r="A36" s="14">
        <v>17909</v>
      </c>
      <c r="C36">
        <v>2356500</v>
      </c>
      <c r="F36">
        <v>2356500</v>
      </c>
    </row>
    <row r="37" spans="1:6" x14ac:dyDescent="0.35">
      <c r="A37" s="14">
        <v>17927</v>
      </c>
      <c r="C37">
        <v>1825900.0000000002</v>
      </c>
      <c r="F37">
        <v>1825900.0000000002</v>
      </c>
    </row>
    <row r="38" spans="1:6" x14ac:dyDescent="0.35">
      <c r="A38" s="14">
        <v>17999</v>
      </c>
      <c r="B38">
        <v>1015499.9999999998</v>
      </c>
      <c r="F38">
        <v>1015499.9999999998</v>
      </c>
    </row>
    <row r="39" spans="1:6" x14ac:dyDescent="0.35">
      <c r="A39" s="14">
        <v>18329</v>
      </c>
      <c r="C39">
        <v>13098700</v>
      </c>
      <c r="F39">
        <v>13098700</v>
      </c>
    </row>
    <row r="40" spans="1:6" x14ac:dyDescent="0.35">
      <c r="A40" s="14">
        <v>18461</v>
      </c>
      <c r="C40">
        <v>6390900</v>
      </c>
      <c r="F40">
        <v>6390900</v>
      </c>
    </row>
    <row r="41" spans="1:6" x14ac:dyDescent="0.35">
      <c r="A41" s="14">
        <v>19067</v>
      </c>
      <c r="D41">
        <v>8456700</v>
      </c>
      <c r="F41">
        <v>8456700</v>
      </c>
    </row>
    <row r="42" spans="1:6" x14ac:dyDescent="0.35">
      <c r="A42" s="14">
        <v>19435</v>
      </c>
      <c r="B42">
        <v>3201000.0000000005</v>
      </c>
      <c r="F42">
        <v>3201000.0000000005</v>
      </c>
    </row>
    <row r="43" spans="1:6" x14ac:dyDescent="0.35">
      <c r="A43" s="14">
        <v>19518</v>
      </c>
      <c r="D43">
        <v>14219699.999999998</v>
      </c>
      <c r="F43">
        <v>14219699.999999998</v>
      </c>
    </row>
    <row r="44" spans="1:6" x14ac:dyDescent="0.35">
      <c r="A44" s="14">
        <v>19557</v>
      </c>
      <c r="B44">
        <v>2210899.9999999995</v>
      </c>
      <c r="F44">
        <v>2210899.9999999995</v>
      </c>
    </row>
    <row r="45" spans="1:6" x14ac:dyDescent="0.35">
      <c r="A45" s="14">
        <v>19596</v>
      </c>
      <c r="B45">
        <v>2813300</v>
      </c>
      <c r="F45">
        <v>2813300</v>
      </c>
    </row>
    <row r="46" spans="1:6" x14ac:dyDescent="0.35">
      <c r="A46" s="14">
        <v>19833</v>
      </c>
      <c r="E46">
        <v>2100200.0000000005</v>
      </c>
      <c r="F46">
        <v>2100200.0000000005</v>
      </c>
    </row>
    <row r="47" spans="1:6" x14ac:dyDescent="0.35">
      <c r="A47" s="14">
        <v>20028</v>
      </c>
      <c r="B47">
        <v>1975200.0000000002</v>
      </c>
      <c r="F47">
        <v>1975200.0000000002</v>
      </c>
    </row>
    <row r="48" spans="1:6" x14ac:dyDescent="0.35">
      <c r="A48" s="14">
        <v>20258</v>
      </c>
      <c r="D48">
        <v>13557600.000000002</v>
      </c>
      <c r="F48">
        <v>13557600.000000002</v>
      </c>
    </row>
    <row r="49" spans="1:6" x14ac:dyDescent="0.35">
      <c r="A49" s="14">
        <v>20720</v>
      </c>
      <c r="D49">
        <v>4185200.0000000005</v>
      </c>
      <c r="F49">
        <v>4185200.0000000005</v>
      </c>
    </row>
    <row r="50" spans="1:6" x14ac:dyDescent="0.35">
      <c r="A50" s="14">
        <v>21005</v>
      </c>
      <c r="E50">
        <v>1653000</v>
      </c>
      <c r="F50">
        <v>1653000</v>
      </c>
    </row>
    <row r="51" spans="1:6" x14ac:dyDescent="0.35">
      <c r="A51" s="14">
        <v>21918</v>
      </c>
      <c r="D51">
        <v>9176800</v>
      </c>
      <c r="F51">
        <v>9176800</v>
      </c>
    </row>
    <row r="52" spans="1:6" x14ac:dyDescent="0.35">
      <c r="A52" s="14">
        <v>21929</v>
      </c>
      <c r="D52">
        <v>6486899.9999999991</v>
      </c>
      <c r="F52">
        <v>6486899.9999999991</v>
      </c>
    </row>
    <row r="53" spans="1:6" x14ac:dyDescent="0.35">
      <c r="A53" s="14">
        <v>22087</v>
      </c>
      <c r="D53">
        <v>8870700.0000000019</v>
      </c>
      <c r="F53">
        <v>8870700.0000000019</v>
      </c>
    </row>
    <row r="54" spans="1:6" x14ac:dyDescent="0.35">
      <c r="A54" s="14">
        <v>22448</v>
      </c>
      <c r="E54">
        <v>6542600.0000000009</v>
      </c>
      <c r="F54">
        <v>6542600.0000000009</v>
      </c>
    </row>
    <row r="55" spans="1:6" x14ac:dyDescent="0.35">
      <c r="A55" s="14">
        <v>22693</v>
      </c>
      <c r="B55">
        <v>13995100</v>
      </c>
      <c r="F55">
        <v>13995100</v>
      </c>
    </row>
    <row r="56" spans="1:6" x14ac:dyDescent="0.35">
      <c r="A56" s="14">
        <v>23109</v>
      </c>
      <c r="B56">
        <v>3364799.9999999995</v>
      </c>
      <c r="F56">
        <v>3364799.9999999995</v>
      </c>
    </row>
    <row r="57" spans="1:6" x14ac:dyDescent="0.35">
      <c r="A57" s="14">
        <v>23428</v>
      </c>
      <c r="E57">
        <v>13466100.000000002</v>
      </c>
      <c r="F57">
        <v>13466100.000000002</v>
      </c>
    </row>
    <row r="58" spans="1:6" x14ac:dyDescent="0.35">
      <c r="A58" s="14">
        <v>23493</v>
      </c>
      <c r="E58">
        <v>6093900</v>
      </c>
      <c r="F58">
        <v>6093900</v>
      </c>
    </row>
    <row r="59" spans="1:6" x14ac:dyDescent="0.35">
      <c r="A59" s="14">
        <v>23944</v>
      </c>
      <c r="B59">
        <v>5877700</v>
      </c>
      <c r="F59">
        <v>5877700</v>
      </c>
    </row>
    <row r="60" spans="1:6" x14ac:dyDescent="0.35">
      <c r="A60" s="14">
        <v>23975</v>
      </c>
      <c r="D60">
        <v>6880999.9999999991</v>
      </c>
      <c r="F60">
        <v>6880999.9999999991</v>
      </c>
    </row>
    <row r="61" spans="1:6" x14ac:dyDescent="0.35">
      <c r="A61" s="14">
        <v>24226</v>
      </c>
      <c r="B61">
        <v>1413500</v>
      </c>
      <c r="F61">
        <v>1413500</v>
      </c>
    </row>
    <row r="62" spans="1:6" x14ac:dyDescent="0.35">
      <c r="A62" s="14">
        <v>24289</v>
      </c>
      <c r="C62">
        <v>10249300</v>
      </c>
      <c r="F62">
        <v>10249300</v>
      </c>
    </row>
    <row r="63" spans="1:6" x14ac:dyDescent="0.35">
      <c r="A63" s="14">
        <v>24472</v>
      </c>
      <c r="C63">
        <v>5630500.0000000009</v>
      </c>
      <c r="F63">
        <v>5630500.0000000009</v>
      </c>
    </row>
    <row r="64" spans="1:6" x14ac:dyDescent="0.35">
      <c r="A64" s="14">
        <v>24537</v>
      </c>
      <c r="E64">
        <v>2865800.0000000014</v>
      </c>
      <c r="F64">
        <v>2865800.0000000014</v>
      </c>
    </row>
    <row r="65" spans="1:6" x14ac:dyDescent="0.35">
      <c r="A65" s="14">
        <v>25078</v>
      </c>
      <c r="C65">
        <v>12278200</v>
      </c>
      <c r="F65">
        <v>12278200</v>
      </c>
    </row>
    <row r="66" spans="1:6" x14ac:dyDescent="0.35">
      <c r="A66" s="14">
        <v>25261</v>
      </c>
      <c r="D66">
        <v>1265900</v>
      </c>
      <c r="F66">
        <v>1265900</v>
      </c>
    </row>
    <row r="67" spans="1:6" x14ac:dyDescent="0.35">
      <c r="A67" s="14">
        <v>25379</v>
      </c>
      <c r="B67">
        <v>4782299.9999999991</v>
      </c>
      <c r="E67">
        <v>14362299.999999998</v>
      </c>
      <c r="F67">
        <v>19144599.999999996</v>
      </c>
    </row>
    <row r="68" spans="1:6" x14ac:dyDescent="0.35">
      <c r="A68" s="14">
        <v>25892</v>
      </c>
      <c r="E68">
        <v>6971100</v>
      </c>
      <c r="F68">
        <v>6971100</v>
      </c>
    </row>
    <row r="69" spans="1:6" x14ac:dyDescent="0.35">
      <c r="A69" s="14">
        <v>26029</v>
      </c>
      <c r="C69">
        <v>14135400.000000002</v>
      </c>
      <c r="F69">
        <v>14135400.000000002</v>
      </c>
    </row>
    <row r="70" spans="1:6" x14ac:dyDescent="0.35">
      <c r="A70" s="14">
        <v>26044</v>
      </c>
      <c r="B70">
        <v>7298700</v>
      </c>
      <c r="F70">
        <v>7298700</v>
      </c>
    </row>
    <row r="71" spans="1:6" x14ac:dyDescent="0.35">
      <c r="A71" s="14">
        <v>26087</v>
      </c>
      <c r="E71">
        <v>14831100</v>
      </c>
      <c r="F71">
        <v>14831100</v>
      </c>
    </row>
    <row r="72" spans="1:6" x14ac:dyDescent="0.35">
      <c r="A72" s="14">
        <v>26184</v>
      </c>
      <c r="B72">
        <v>1843799.9999999998</v>
      </c>
      <c r="F72">
        <v>1843799.9999999998</v>
      </c>
    </row>
    <row r="73" spans="1:6" x14ac:dyDescent="0.35">
      <c r="A73" s="14">
        <v>26370</v>
      </c>
      <c r="D73">
        <v>9796900.0000000019</v>
      </c>
      <c r="F73">
        <v>9796900.0000000019</v>
      </c>
    </row>
    <row r="74" spans="1:6" x14ac:dyDescent="0.35">
      <c r="A74" s="14">
        <v>27015</v>
      </c>
      <c r="D74">
        <v>2835100.0000000009</v>
      </c>
      <c r="F74">
        <v>2835100.0000000009</v>
      </c>
    </row>
    <row r="75" spans="1:6" x14ac:dyDescent="0.35">
      <c r="A75" s="14">
        <v>27069</v>
      </c>
      <c r="C75">
        <v>3951600</v>
      </c>
      <c r="F75">
        <v>3951600</v>
      </c>
    </row>
    <row r="76" spans="1:6" x14ac:dyDescent="0.35">
      <c r="A76" s="14">
        <v>27073</v>
      </c>
      <c r="E76">
        <v>8717500</v>
      </c>
      <c r="F76">
        <v>8717500</v>
      </c>
    </row>
    <row r="77" spans="1:6" x14ac:dyDescent="0.35">
      <c r="A77" s="14">
        <v>27081</v>
      </c>
      <c r="B77">
        <v>10646800</v>
      </c>
      <c r="F77">
        <v>10646800</v>
      </c>
    </row>
    <row r="78" spans="1:6" x14ac:dyDescent="0.35">
      <c r="A78" s="14">
        <v>27833</v>
      </c>
      <c r="B78">
        <v>8251599.9999999972</v>
      </c>
      <c r="F78">
        <v>8251599.9999999972</v>
      </c>
    </row>
    <row r="79" spans="1:6" x14ac:dyDescent="0.35">
      <c r="A79" s="14">
        <v>28284</v>
      </c>
      <c r="B79">
        <v>8697499.9999999981</v>
      </c>
      <c r="F79">
        <v>8697499.9999999981</v>
      </c>
    </row>
    <row r="80" spans="1:6" x14ac:dyDescent="0.35">
      <c r="A80" s="14">
        <v>28313</v>
      </c>
      <c r="C80">
        <v>3762400.0000000009</v>
      </c>
      <c r="F80">
        <v>3762400.0000000009</v>
      </c>
    </row>
    <row r="81" spans="1:6" x14ac:dyDescent="0.35">
      <c r="A81" s="14">
        <v>28394</v>
      </c>
      <c r="E81">
        <v>10566500.000000004</v>
      </c>
      <c r="F81">
        <v>10566500.000000004</v>
      </c>
    </row>
    <row r="82" spans="1:6" x14ac:dyDescent="0.35">
      <c r="A82" s="14">
        <v>28509</v>
      </c>
      <c r="D82">
        <v>13223200.000000004</v>
      </c>
      <c r="F82">
        <v>13223200.000000004</v>
      </c>
    </row>
    <row r="83" spans="1:6" x14ac:dyDescent="0.35">
      <c r="A83" s="14">
        <v>28681</v>
      </c>
      <c r="D83">
        <v>5347200</v>
      </c>
      <c r="F83">
        <v>5347200</v>
      </c>
    </row>
    <row r="84" spans="1:6" x14ac:dyDescent="0.35">
      <c r="A84" s="14">
        <v>28745</v>
      </c>
      <c r="B84">
        <v>8481300</v>
      </c>
      <c r="F84">
        <v>8481300</v>
      </c>
    </row>
    <row r="85" spans="1:6" x14ac:dyDescent="0.35">
      <c r="A85" s="14">
        <v>28994</v>
      </c>
      <c r="E85">
        <v>9155700.0000000037</v>
      </c>
      <c r="F85">
        <v>9155700.0000000037</v>
      </c>
    </row>
    <row r="86" spans="1:6" x14ac:dyDescent="0.35">
      <c r="A86" s="14">
        <v>29194</v>
      </c>
      <c r="B86">
        <v>6648099.9999999981</v>
      </c>
      <c r="F86">
        <v>6648099.9999999981</v>
      </c>
    </row>
    <row r="87" spans="1:6" x14ac:dyDescent="0.35">
      <c r="A87" s="14">
        <v>29675</v>
      </c>
      <c r="E87">
        <v>4451800.0000000009</v>
      </c>
      <c r="F87">
        <v>4451800.0000000009</v>
      </c>
    </row>
    <row r="88" spans="1:6" x14ac:dyDescent="0.35">
      <c r="A88" s="14">
        <v>29715</v>
      </c>
      <c r="E88">
        <v>7327799.9999999991</v>
      </c>
      <c r="F88">
        <v>7327799.9999999991</v>
      </c>
    </row>
    <row r="89" spans="1:6" x14ac:dyDescent="0.35">
      <c r="A89" s="14">
        <v>29873</v>
      </c>
      <c r="D89">
        <v>7726300</v>
      </c>
      <c r="F89">
        <v>7726300</v>
      </c>
    </row>
    <row r="90" spans="1:6" x14ac:dyDescent="0.35">
      <c r="A90" s="14">
        <v>30644</v>
      </c>
      <c r="B90">
        <v>4529200</v>
      </c>
      <c r="F90">
        <v>4529200</v>
      </c>
    </row>
    <row r="91" spans="1:6" x14ac:dyDescent="0.35">
      <c r="A91" s="14">
        <v>31621</v>
      </c>
      <c r="B91">
        <v>14907599.999999996</v>
      </c>
      <c r="F91">
        <v>14907599.999999996</v>
      </c>
    </row>
    <row r="92" spans="1:6" x14ac:dyDescent="0.35">
      <c r="A92" s="14">
        <v>31817</v>
      </c>
      <c r="E92">
        <v>4990099.9999999981</v>
      </c>
      <c r="F92">
        <v>4990099.9999999981</v>
      </c>
    </row>
    <row r="93" spans="1:6" x14ac:dyDescent="0.35">
      <c r="A93" s="14">
        <v>32436</v>
      </c>
      <c r="C93">
        <v>13395000</v>
      </c>
      <c r="F93">
        <v>13395000</v>
      </c>
    </row>
    <row r="94" spans="1:6" x14ac:dyDescent="0.35">
      <c r="A94" s="14">
        <v>32669</v>
      </c>
      <c r="E94">
        <v>8091000</v>
      </c>
      <c r="F94">
        <v>8091000</v>
      </c>
    </row>
    <row r="95" spans="1:6" x14ac:dyDescent="0.35">
      <c r="A95" s="14">
        <v>33225</v>
      </c>
      <c r="D95">
        <v>4799099.9999999991</v>
      </c>
      <c r="F95">
        <v>4799099.9999999991</v>
      </c>
    </row>
    <row r="96" spans="1:6" x14ac:dyDescent="0.35">
      <c r="A96" s="14">
        <v>33252</v>
      </c>
      <c r="C96">
        <v>14366899.999999998</v>
      </c>
      <c r="F96">
        <v>14366899.999999998</v>
      </c>
    </row>
    <row r="97" spans="1:6" x14ac:dyDescent="0.35">
      <c r="A97" s="14">
        <v>33284</v>
      </c>
      <c r="C97">
        <v>14748799.999999998</v>
      </c>
      <c r="F97">
        <v>14748799.999999998</v>
      </c>
    </row>
    <row r="98" spans="1:6" x14ac:dyDescent="0.35">
      <c r="A98" s="14">
        <v>33705</v>
      </c>
      <c r="D98">
        <v>11041700</v>
      </c>
      <c r="F98">
        <v>11041700</v>
      </c>
    </row>
    <row r="99" spans="1:6" x14ac:dyDescent="0.35">
      <c r="A99" s="14">
        <v>33762</v>
      </c>
      <c r="C99">
        <v>1577400</v>
      </c>
      <c r="F99">
        <v>1577400</v>
      </c>
    </row>
    <row r="100" spans="1:6" x14ac:dyDescent="0.35">
      <c r="A100" s="14">
        <v>33928</v>
      </c>
      <c r="E100">
        <v>2080000</v>
      </c>
      <c r="F100">
        <v>2080000</v>
      </c>
    </row>
    <row r="101" spans="1:6" x14ac:dyDescent="0.35">
      <c r="A101" s="14">
        <v>34286</v>
      </c>
      <c r="D101">
        <v>7387000</v>
      </c>
      <c r="F101">
        <v>7387000</v>
      </c>
    </row>
    <row r="102" spans="1:6" x14ac:dyDescent="0.35">
      <c r="A102" s="14">
        <v>34570</v>
      </c>
      <c r="D102">
        <v>9424600.0000000019</v>
      </c>
      <c r="F102">
        <v>9424600.0000000019</v>
      </c>
    </row>
    <row r="103" spans="1:6" x14ac:dyDescent="0.35">
      <c r="A103" s="14">
        <v>35051</v>
      </c>
      <c r="D103">
        <v>1128300.0000000002</v>
      </c>
      <c r="F103">
        <v>1128300.0000000002</v>
      </c>
    </row>
    <row r="104" spans="1:6" x14ac:dyDescent="0.35">
      <c r="A104" s="14">
        <v>35122</v>
      </c>
      <c r="B104">
        <v>4260200</v>
      </c>
      <c r="F104">
        <v>4260200</v>
      </c>
    </row>
    <row r="105" spans="1:6" x14ac:dyDescent="0.35">
      <c r="A105" s="14">
        <v>35279</v>
      </c>
      <c r="C105">
        <v>4854700</v>
      </c>
      <c r="F105">
        <v>4854700</v>
      </c>
    </row>
    <row r="106" spans="1:6" x14ac:dyDescent="0.35">
      <c r="A106" s="14">
        <v>36201</v>
      </c>
      <c r="D106">
        <v>9795999.9999999981</v>
      </c>
      <c r="F106">
        <v>9795999.9999999981</v>
      </c>
    </row>
    <row r="107" spans="1:6" x14ac:dyDescent="0.35">
      <c r="A107" s="14">
        <v>36661</v>
      </c>
      <c r="B107">
        <v>3125299.9999999995</v>
      </c>
      <c r="F107">
        <v>3125299.9999999995</v>
      </c>
    </row>
    <row r="108" spans="1:6" x14ac:dyDescent="0.35">
      <c r="A108" s="14">
        <v>37037</v>
      </c>
      <c r="B108">
        <v>13649800.000000006</v>
      </c>
      <c r="F108">
        <v>13649800.000000006</v>
      </c>
    </row>
    <row r="109" spans="1:6" x14ac:dyDescent="0.35">
      <c r="A109" s="14">
        <v>37386</v>
      </c>
      <c r="E109">
        <v>4369100</v>
      </c>
      <c r="F109">
        <v>4369100</v>
      </c>
    </row>
    <row r="110" spans="1:6" x14ac:dyDescent="0.35">
      <c r="A110" s="14">
        <v>37523</v>
      </c>
      <c r="D110">
        <v>9025700.0000000019</v>
      </c>
      <c r="F110">
        <v>9025700.0000000019</v>
      </c>
    </row>
    <row r="111" spans="1:6" x14ac:dyDescent="0.35">
      <c r="A111" s="14">
        <v>37766</v>
      </c>
      <c r="C111">
        <v>8194699.9999999991</v>
      </c>
      <c r="F111">
        <v>8194699.9999999991</v>
      </c>
    </row>
    <row r="112" spans="1:6" x14ac:dyDescent="0.35">
      <c r="A112" s="14">
        <v>38047</v>
      </c>
      <c r="D112">
        <v>1507500.0000000002</v>
      </c>
      <c r="F112">
        <v>1507500.0000000002</v>
      </c>
    </row>
    <row r="113" spans="1:6" x14ac:dyDescent="0.35">
      <c r="A113" s="14">
        <v>38228</v>
      </c>
      <c r="C113">
        <v>10713600</v>
      </c>
      <c r="F113">
        <v>10713600</v>
      </c>
    </row>
    <row r="114" spans="1:6" x14ac:dyDescent="0.35">
      <c r="A114" s="14">
        <v>38272</v>
      </c>
      <c r="E114">
        <v>6904199.9999999972</v>
      </c>
      <c r="F114">
        <v>6904199.9999999972</v>
      </c>
    </row>
    <row r="115" spans="1:6" x14ac:dyDescent="0.35">
      <c r="A115" s="14">
        <v>38731</v>
      </c>
      <c r="E115">
        <v>14770099.999999998</v>
      </c>
      <c r="F115">
        <v>14770099.999999998</v>
      </c>
    </row>
    <row r="116" spans="1:6" x14ac:dyDescent="0.35">
      <c r="A116" s="14">
        <v>38854</v>
      </c>
      <c r="D116">
        <v>11548700.000000002</v>
      </c>
      <c r="F116">
        <v>11548700.000000002</v>
      </c>
    </row>
    <row r="117" spans="1:6" x14ac:dyDescent="0.35">
      <c r="A117" s="14">
        <v>39197</v>
      </c>
      <c r="B117">
        <v>8593899.9999999981</v>
      </c>
      <c r="F117">
        <v>8593899.9999999981</v>
      </c>
    </row>
    <row r="118" spans="1:6" x14ac:dyDescent="0.35">
      <c r="A118" s="14">
        <v>39252</v>
      </c>
      <c r="C118">
        <v>14216099.999999996</v>
      </c>
      <c r="F118">
        <v>14216099.999999996</v>
      </c>
    </row>
    <row r="119" spans="1:6" x14ac:dyDescent="0.35">
      <c r="A119" s="14">
        <v>39309</v>
      </c>
      <c r="D119">
        <v>6507700</v>
      </c>
      <c r="F119">
        <v>6507700</v>
      </c>
    </row>
    <row r="120" spans="1:6" x14ac:dyDescent="0.35">
      <c r="A120" s="14">
        <v>39312</v>
      </c>
      <c r="D120">
        <v>11986900</v>
      </c>
      <c r="F120">
        <v>11986900</v>
      </c>
    </row>
    <row r="121" spans="1:6" x14ac:dyDescent="0.35">
      <c r="A121" s="14">
        <v>39411</v>
      </c>
      <c r="B121">
        <v>9068500</v>
      </c>
      <c r="F121">
        <v>9068500</v>
      </c>
    </row>
    <row r="122" spans="1:6" x14ac:dyDescent="0.35">
      <c r="A122" s="14">
        <v>39750</v>
      </c>
      <c r="B122">
        <v>14804300.000000002</v>
      </c>
      <c r="F122">
        <v>14804300.000000002</v>
      </c>
    </row>
    <row r="123" spans="1:6" x14ac:dyDescent="0.35">
      <c r="A123" s="14">
        <v>40254</v>
      </c>
      <c r="D123">
        <v>9183499.9999999981</v>
      </c>
      <c r="F123">
        <v>9183499.9999999981</v>
      </c>
    </row>
    <row r="124" spans="1:6" x14ac:dyDescent="0.35">
      <c r="A124" s="14">
        <v>40268</v>
      </c>
      <c r="C124">
        <v>7961500.0000000028</v>
      </c>
      <c r="F124">
        <v>7961500.0000000028</v>
      </c>
    </row>
    <row r="125" spans="1:6" x14ac:dyDescent="0.35">
      <c r="A125" s="14">
        <v>40314</v>
      </c>
      <c r="C125">
        <v>14556500.000000004</v>
      </c>
      <c r="F125">
        <v>14556500.000000004</v>
      </c>
    </row>
    <row r="126" spans="1:6" x14ac:dyDescent="0.35">
      <c r="A126" s="14">
        <v>40447</v>
      </c>
      <c r="D126">
        <v>10775599.999999998</v>
      </c>
      <c r="F126">
        <v>10775599.999999998</v>
      </c>
    </row>
    <row r="127" spans="1:6" x14ac:dyDescent="0.35">
      <c r="A127" s="14">
        <v>40508</v>
      </c>
      <c r="C127">
        <v>6214200</v>
      </c>
      <c r="F127">
        <v>6214200</v>
      </c>
    </row>
    <row r="128" spans="1:6" x14ac:dyDescent="0.35">
      <c r="A128" s="14">
        <v>40682</v>
      </c>
      <c r="D128">
        <v>5673300</v>
      </c>
      <c r="F128">
        <v>5673300</v>
      </c>
    </row>
    <row r="129" spans="1:6" x14ac:dyDescent="0.35">
      <c r="A129" s="14">
        <v>41358</v>
      </c>
      <c r="C129">
        <v>10502800</v>
      </c>
      <c r="F129">
        <v>10502800</v>
      </c>
    </row>
    <row r="130" spans="1:6" x14ac:dyDescent="0.35">
      <c r="A130" s="14">
        <v>41703</v>
      </c>
      <c r="D130">
        <v>1988500</v>
      </c>
      <c r="F130">
        <v>1988500</v>
      </c>
    </row>
    <row r="131" spans="1:6" x14ac:dyDescent="0.35">
      <c r="A131" s="14">
        <v>42262</v>
      </c>
      <c r="B131">
        <v>13820199.999999998</v>
      </c>
      <c r="F131">
        <v>13820199.999999998</v>
      </c>
    </row>
    <row r="132" spans="1:6" x14ac:dyDescent="0.35">
      <c r="A132" s="14">
        <v>42373</v>
      </c>
      <c r="B132">
        <v>4386600</v>
      </c>
      <c r="F132">
        <v>4386600</v>
      </c>
    </row>
    <row r="133" spans="1:6" x14ac:dyDescent="0.35">
      <c r="A133" s="14">
        <v>42591</v>
      </c>
      <c r="D133">
        <v>2528200</v>
      </c>
      <c r="F133">
        <v>2528200</v>
      </c>
    </row>
    <row r="134" spans="1:6" x14ac:dyDescent="0.35">
      <c r="A134" s="14">
        <v>42972</v>
      </c>
      <c r="C134">
        <v>10484000.000000004</v>
      </c>
      <c r="F134">
        <v>10484000.000000004</v>
      </c>
    </row>
    <row r="135" spans="1:6" x14ac:dyDescent="0.35">
      <c r="A135" s="14">
        <v>43598</v>
      </c>
      <c r="E135">
        <v>12535700</v>
      </c>
      <c r="F135">
        <v>12535700</v>
      </c>
    </row>
    <row r="136" spans="1:6" x14ac:dyDescent="0.35">
      <c r="A136" s="14">
        <v>43787</v>
      </c>
      <c r="E136">
        <v>3009499.9999999995</v>
      </c>
      <c r="F136">
        <v>3009499.9999999995</v>
      </c>
    </row>
    <row r="137" spans="1:6" x14ac:dyDescent="0.35">
      <c r="A137" s="14">
        <v>43848</v>
      </c>
      <c r="D137">
        <v>11385000</v>
      </c>
      <c r="F137">
        <v>11385000</v>
      </c>
    </row>
    <row r="138" spans="1:6" x14ac:dyDescent="0.35">
      <c r="A138" s="14">
        <v>43937</v>
      </c>
      <c r="C138">
        <v>6275600</v>
      </c>
      <c r="F138">
        <v>6275600</v>
      </c>
    </row>
    <row r="139" spans="1:6" x14ac:dyDescent="0.35">
      <c r="A139" s="14">
        <v>44051</v>
      </c>
      <c r="C139">
        <v>10205099.999999996</v>
      </c>
      <c r="F139">
        <v>10205099.999999996</v>
      </c>
    </row>
    <row r="140" spans="1:6" x14ac:dyDescent="0.35">
      <c r="A140" s="14">
        <v>44501</v>
      </c>
      <c r="C140">
        <v>14171700.000000002</v>
      </c>
      <c r="F140">
        <v>14171700.000000002</v>
      </c>
    </row>
    <row r="141" spans="1:6" x14ac:dyDescent="0.35">
      <c r="A141" s="14">
        <v>44521</v>
      </c>
      <c r="C141">
        <v>6163100</v>
      </c>
      <c r="F141">
        <v>6163100</v>
      </c>
    </row>
    <row r="142" spans="1:6" x14ac:dyDescent="0.35">
      <c r="A142" s="14">
        <v>44546</v>
      </c>
      <c r="D142">
        <v>2870800.0000000005</v>
      </c>
      <c r="F142">
        <v>2870800.0000000005</v>
      </c>
    </row>
    <row r="143" spans="1:6" x14ac:dyDescent="0.35">
      <c r="A143" s="14">
        <v>44742</v>
      </c>
      <c r="B143">
        <v>7170900.0000000009</v>
      </c>
      <c r="F143">
        <v>7170900.0000000009</v>
      </c>
    </row>
    <row r="144" spans="1:6" x14ac:dyDescent="0.35">
      <c r="A144" s="14">
        <v>44782</v>
      </c>
      <c r="B144">
        <v>3836500</v>
      </c>
      <c r="F144">
        <v>3836500</v>
      </c>
    </row>
    <row r="145" spans="1:6" x14ac:dyDescent="0.35">
      <c r="A145" s="14">
        <v>44865</v>
      </c>
      <c r="B145">
        <v>10135300.000000004</v>
      </c>
      <c r="F145">
        <v>10135300.000000004</v>
      </c>
    </row>
    <row r="146" spans="1:6" x14ac:dyDescent="0.35">
      <c r="A146" s="14">
        <v>44947</v>
      </c>
      <c r="D146">
        <v>10633400</v>
      </c>
      <c r="F146">
        <v>10633400</v>
      </c>
    </row>
    <row r="147" spans="1:6" x14ac:dyDescent="0.35">
      <c r="A147" s="14">
        <v>45525</v>
      </c>
      <c r="E147">
        <v>11539999.999999998</v>
      </c>
      <c r="F147">
        <v>11539999.999999998</v>
      </c>
    </row>
    <row r="148" spans="1:6" x14ac:dyDescent="0.35">
      <c r="A148" s="14">
        <v>46060</v>
      </c>
      <c r="D148">
        <v>4324300.0000000019</v>
      </c>
      <c r="F148">
        <v>4324300.0000000019</v>
      </c>
    </row>
    <row r="149" spans="1:6" x14ac:dyDescent="0.35">
      <c r="A149" s="14">
        <v>46727</v>
      </c>
      <c r="B149">
        <v>4771099.9999999991</v>
      </c>
      <c r="D149">
        <v>7309500.0000000009</v>
      </c>
      <c r="F149">
        <v>12080600</v>
      </c>
    </row>
    <row r="150" spans="1:6" x14ac:dyDescent="0.35">
      <c r="A150" s="14">
        <v>46751</v>
      </c>
      <c r="E150">
        <v>7387799.9999999991</v>
      </c>
      <c r="F150">
        <v>7387799.9999999991</v>
      </c>
    </row>
    <row r="151" spans="1:6" x14ac:dyDescent="0.35">
      <c r="A151" s="14">
        <v>46768</v>
      </c>
      <c r="C151">
        <v>7430700</v>
      </c>
      <c r="F151">
        <v>7430700</v>
      </c>
    </row>
    <row r="152" spans="1:6" x14ac:dyDescent="0.35">
      <c r="A152" s="14">
        <v>47051</v>
      </c>
      <c r="B152">
        <v>9666099.9999999981</v>
      </c>
      <c r="F152">
        <v>9666099.9999999981</v>
      </c>
    </row>
    <row r="153" spans="1:6" x14ac:dyDescent="0.35">
      <c r="A153" s="14">
        <v>47481</v>
      </c>
      <c r="C153">
        <v>2503700</v>
      </c>
      <c r="F153">
        <v>2503700</v>
      </c>
    </row>
    <row r="154" spans="1:6" x14ac:dyDescent="0.35">
      <c r="A154" s="14">
        <v>47766</v>
      </c>
      <c r="E154">
        <v>1878700.0000000005</v>
      </c>
      <c r="F154">
        <v>1878700.0000000005</v>
      </c>
    </row>
    <row r="155" spans="1:6" x14ac:dyDescent="0.35">
      <c r="A155" s="14">
        <v>47804</v>
      </c>
      <c r="C155">
        <v>14792400.000000002</v>
      </c>
      <c r="F155">
        <v>14792400.000000002</v>
      </c>
    </row>
    <row r="156" spans="1:6" x14ac:dyDescent="0.35">
      <c r="A156" s="14">
        <v>47861</v>
      </c>
      <c r="C156">
        <v>2120500</v>
      </c>
      <c r="F156">
        <v>2120500</v>
      </c>
    </row>
    <row r="157" spans="1:6" x14ac:dyDescent="0.35">
      <c r="A157" s="14">
        <v>48019</v>
      </c>
      <c r="E157">
        <v>1078100</v>
      </c>
      <c r="F157">
        <v>1078100</v>
      </c>
    </row>
    <row r="158" spans="1:6" x14ac:dyDescent="0.35">
      <c r="A158" s="14">
        <v>48328</v>
      </c>
      <c r="B158">
        <v>5943700</v>
      </c>
      <c r="F158">
        <v>5943700</v>
      </c>
    </row>
    <row r="159" spans="1:6" x14ac:dyDescent="0.35">
      <c r="A159" s="14">
        <v>48356</v>
      </c>
      <c r="C159">
        <v>10117900</v>
      </c>
      <c r="F159">
        <v>10117900</v>
      </c>
    </row>
    <row r="160" spans="1:6" x14ac:dyDescent="0.35">
      <c r="A160" s="14">
        <v>48659</v>
      </c>
      <c r="C160">
        <v>9866400.0000000019</v>
      </c>
      <c r="F160">
        <v>9866400.0000000019</v>
      </c>
    </row>
    <row r="161" spans="1:6" x14ac:dyDescent="0.35">
      <c r="A161" s="14">
        <v>49110</v>
      </c>
      <c r="C161">
        <v>9970900</v>
      </c>
      <c r="F161">
        <v>9970900</v>
      </c>
    </row>
    <row r="162" spans="1:6" x14ac:dyDescent="0.35">
      <c r="A162" s="14">
        <v>50372</v>
      </c>
      <c r="E162">
        <v>11015800</v>
      </c>
      <c r="F162">
        <v>11015800</v>
      </c>
    </row>
    <row r="163" spans="1:6" x14ac:dyDescent="0.35">
      <c r="A163" s="14">
        <v>50785</v>
      </c>
      <c r="C163">
        <v>4422800</v>
      </c>
      <c r="F163">
        <v>4422800</v>
      </c>
    </row>
    <row r="164" spans="1:6" x14ac:dyDescent="0.35">
      <c r="A164" s="14">
        <v>51796</v>
      </c>
      <c r="D164">
        <v>2276300</v>
      </c>
      <c r="F164">
        <v>2276300</v>
      </c>
    </row>
    <row r="165" spans="1:6" x14ac:dyDescent="0.35">
      <c r="A165" s="14">
        <v>51800</v>
      </c>
      <c r="C165">
        <v>8861000</v>
      </c>
      <c r="F165">
        <v>8861000</v>
      </c>
    </row>
    <row r="166" spans="1:6" x14ac:dyDescent="0.35">
      <c r="A166" s="14">
        <v>51903</v>
      </c>
      <c r="B166">
        <v>11610800.000000006</v>
      </c>
      <c r="F166">
        <v>11610800.000000006</v>
      </c>
    </row>
    <row r="167" spans="1:6" x14ac:dyDescent="0.35">
      <c r="A167" s="14">
        <v>52003</v>
      </c>
      <c r="D167">
        <v>12458600.000000002</v>
      </c>
      <c r="F167">
        <v>12458600.000000002</v>
      </c>
    </row>
    <row r="168" spans="1:6" x14ac:dyDescent="0.35">
      <c r="A168" s="14">
        <v>52092</v>
      </c>
      <c r="E168">
        <v>3007399.9999999995</v>
      </c>
      <c r="F168">
        <v>3007399.9999999995</v>
      </c>
    </row>
    <row r="169" spans="1:6" x14ac:dyDescent="0.35">
      <c r="A169" s="14">
        <v>52821</v>
      </c>
      <c r="D169">
        <v>10869600.000000002</v>
      </c>
      <c r="F169">
        <v>10869600.000000002</v>
      </c>
    </row>
    <row r="170" spans="1:6" x14ac:dyDescent="0.35">
      <c r="A170" s="14">
        <v>52845</v>
      </c>
      <c r="B170">
        <v>2809900</v>
      </c>
      <c r="F170">
        <v>2809900</v>
      </c>
    </row>
    <row r="171" spans="1:6" x14ac:dyDescent="0.35">
      <c r="A171" s="14">
        <v>52963</v>
      </c>
      <c r="E171">
        <v>7749400.0000000009</v>
      </c>
      <c r="F171">
        <v>7749400.0000000009</v>
      </c>
    </row>
    <row r="172" spans="1:6" x14ac:dyDescent="0.35">
      <c r="A172" s="14">
        <v>53363</v>
      </c>
      <c r="D172">
        <v>3879500.0000000005</v>
      </c>
      <c r="F172">
        <v>3879500.0000000005</v>
      </c>
    </row>
    <row r="173" spans="1:6" x14ac:dyDescent="0.35">
      <c r="A173" s="14">
        <v>53543</v>
      </c>
      <c r="B173">
        <v>2111600</v>
      </c>
      <c r="F173">
        <v>2111600</v>
      </c>
    </row>
    <row r="174" spans="1:6" x14ac:dyDescent="0.35">
      <c r="A174" s="14">
        <v>53590</v>
      </c>
      <c r="C174">
        <v>7100099.9999999991</v>
      </c>
      <c r="F174">
        <v>7100099.9999999991</v>
      </c>
    </row>
    <row r="175" spans="1:6" x14ac:dyDescent="0.35">
      <c r="A175" s="14">
        <v>53619</v>
      </c>
      <c r="D175">
        <v>6379800</v>
      </c>
      <c r="F175">
        <v>6379800</v>
      </c>
    </row>
    <row r="176" spans="1:6" x14ac:dyDescent="0.35">
      <c r="A176" s="14">
        <v>53922</v>
      </c>
      <c r="B176">
        <v>11947199.999999996</v>
      </c>
      <c r="F176">
        <v>11947199.999999996</v>
      </c>
    </row>
    <row r="177" spans="1:6" x14ac:dyDescent="0.35">
      <c r="A177" s="14">
        <v>53934</v>
      </c>
      <c r="D177">
        <v>1590600</v>
      </c>
      <c r="F177">
        <v>1590600</v>
      </c>
    </row>
    <row r="178" spans="1:6" x14ac:dyDescent="0.35">
      <c r="A178" s="14">
        <v>54848</v>
      </c>
      <c r="B178">
        <v>13514700</v>
      </c>
      <c r="F178">
        <v>13514700</v>
      </c>
    </row>
    <row r="179" spans="1:6" x14ac:dyDescent="0.35">
      <c r="A179" s="14">
        <v>55253</v>
      </c>
      <c r="E179">
        <v>3681899.9999999995</v>
      </c>
      <c r="F179">
        <v>3681899.9999999995</v>
      </c>
    </row>
    <row r="180" spans="1:6" x14ac:dyDescent="0.35">
      <c r="A180" s="14">
        <v>55603</v>
      </c>
      <c r="C180">
        <v>12836200</v>
      </c>
      <c r="F180">
        <v>12836200</v>
      </c>
    </row>
    <row r="181" spans="1:6" x14ac:dyDescent="0.35">
      <c r="A181" s="14">
        <v>55657</v>
      </c>
      <c r="E181">
        <v>1934599.9999999995</v>
      </c>
      <c r="F181">
        <v>1934599.9999999995</v>
      </c>
    </row>
    <row r="182" spans="1:6" x14ac:dyDescent="0.35">
      <c r="A182" s="14">
        <v>55951</v>
      </c>
      <c r="C182">
        <v>12788600.000000002</v>
      </c>
      <c r="F182">
        <v>12788600.000000002</v>
      </c>
    </row>
    <row r="183" spans="1:6" x14ac:dyDescent="0.35">
      <c r="A183" s="14">
        <v>56026</v>
      </c>
      <c r="D183">
        <v>3617000</v>
      </c>
      <c r="F183">
        <v>3617000</v>
      </c>
    </row>
    <row r="184" spans="1:6" x14ac:dyDescent="0.35">
      <c r="A184" s="14">
        <v>56698</v>
      </c>
      <c r="C184">
        <v>3555600</v>
      </c>
      <c r="F184">
        <v>3555600</v>
      </c>
    </row>
    <row r="185" spans="1:6" x14ac:dyDescent="0.35">
      <c r="A185" s="14">
        <v>56850</v>
      </c>
      <c r="B185">
        <v>10564800.000000002</v>
      </c>
      <c r="F185">
        <v>10564800.000000002</v>
      </c>
    </row>
    <row r="186" spans="1:6" x14ac:dyDescent="0.35">
      <c r="A186" s="14">
        <v>56907</v>
      </c>
      <c r="D186">
        <v>6029000</v>
      </c>
      <c r="F186">
        <v>6029000</v>
      </c>
    </row>
    <row r="187" spans="1:6" x14ac:dyDescent="0.35">
      <c r="A187" s="14">
        <v>57299</v>
      </c>
      <c r="C187">
        <v>14788800.000000004</v>
      </c>
      <c r="F187">
        <v>14788800.000000004</v>
      </c>
    </row>
    <row r="188" spans="1:6" x14ac:dyDescent="0.35">
      <c r="A188" s="14">
        <v>57639</v>
      </c>
      <c r="D188">
        <v>1682300</v>
      </c>
      <c r="F188">
        <v>1682300</v>
      </c>
    </row>
    <row r="189" spans="1:6" x14ac:dyDescent="0.35">
      <c r="A189" s="14">
        <v>58201</v>
      </c>
      <c r="B189">
        <v>11464800.000000002</v>
      </c>
      <c r="F189">
        <v>11464800.000000002</v>
      </c>
    </row>
    <row r="190" spans="1:6" x14ac:dyDescent="0.35">
      <c r="A190" s="14">
        <v>58330</v>
      </c>
      <c r="B190">
        <v>13877500</v>
      </c>
      <c r="F190">
        <v>13877500</v>
      </c>
    </row>
    <row r="191" spans="1:6" x14ac:dyDescent="0.35">
      <c r="A191" s="14">
        <v>58709</v>
      </c>
      <c r="C191">
        <v>3144700</v>
      </c>
      <c r="F191">
        <v>3144700</v>
      </c>
    </row>
    <row r="192" spans="1:6" x14ac:dyDescent="0.35">
      <c r="A192" s="14">
        <v>58831</v>
      </c>
      <c r="B192">
        <v>14366299.999999998</v>
      </c>
      <c r="F192">
        <v>14366299.999999998</v>
      </c>
    </row>
    <row r="193" spans="1:6" x14ac:dyDescent="0.35">
      <c r="A193" s="14">
        <v>58868</v>
      </c>
      <c r="C193">
        <v>1671000</v>
      </c>
      <c r="F193">
        <v>1671000</v>
      </c>
    </row>
    <row r="194" spans="1:6" x14ac:dyDescent="0.35">
      <c r="A194" s="14">
        <v>58998</v>
      </c>
      <c r="D194">
        <v>5373200</v>
      </c>
      <c r="F194">
        <v>5373200</v>
      </c>
    </row>
    <row r="195" spans="1:6" x14ac:dyDescent="0.35">
      <c r="A195" s="14">
        <v>59378</v>
      </c>
      <c r="B195">
        <v>3911800.0000000005</v>
      </c>
      <c r="F195">
        <v>3911800.0000000005</v>
      </c>
    </row>
    <row r="196" spans="1:6" x14ac:dyDescent="0.35">
      <c r="A196" s="14">
        <v>59733</v>
      </c>
      <c r="B196">
        <v>12621900.000000002</v>
      </c>
      <c r="F196">
        <v>12621900.000000002</v>
      </c>
    </row>
    <row r="197" spans="1:6" x14ac:dyDescent="0.35">
      <c r="A197" s="14">
        <v>59745</v>
      </c>
      <c r="D197">
        <v>14297000</v>
      </c>
      <c r="F197">
        <v>14297000</v>
      </c>
    </row>
    <row r="198" spans="1:6" x14ac:dyDescent="0.35">
      <c r="A198" s="14">
        <v>59811</v>
      </c>
      <c r="C198">
        <v>4299400</v>
      </c>
      <c r="F198">
        <v>4299400</v>
      </c>
    </row>
    <row r="199" spans="1:6" x14ac:dyDescent="0.35">
      <c r="A199" s="14">
        <v>59815</v>
      </c>
      <c r="E199">
        <v>2707100</v>
      </c>
      <c r="F199">
        <v>2707100</v>
      </c>
    </row>
    <row r="200" spans="1:6" x14ac:dyDescent="0.35">
      <c r="A200" s="14">
        <v>59823</v>
      </c>
      <c r="C200">
        <v>13514900.000000002</v>
      </c>
      <c r="F200">
        <v>13514900.000000002</v>
      </c>
    </row>
    <row r="201" spans="1:6" x14ac:dyDescent="0.35">
      <c r="A201" s="14" t="s">
        <v>560</v>
      </c>
      <c r="B201">
        <v>372087000</v>
      </c>
      <c r="C201">
        <v>463865600</v>
      </c>
      <c r="D201">
        <v>389706300</v>
      </c>
      <c r="E201">
        <v>313124900</v>
      </c>
      <c r="F201">
        <v>1538783800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3F3D-13E4-4AE0-90BE-66EBD431B500}">
  <dimension ref="A1:B14"/>
  <sheetViews>
    <sheetView workbookViewId="0">
      <selection activeCell="C9" sqref="C9"/>
    </sheetView>
  </sheetViews>
  <sheetFormatPr defaultRowHeight="14.5" x14ac:dyDescent="0.35"/>
  <cols>
    <col min="1" max="1" width="32" bestFit="1" customWidth="1"/>
    <col min="2" max="2" width="16.26953125" bestFit="1" customWidth="1"/>
  </cols>
  <sheetData>
    <row r="1" spans="1:2" x14ac:dyDescent="0.35">
      <c r="A1" s="13" t="s">
        <v>559</v>
      </c>
      <c r="B1" t="s">
        <v>595</v>
      </c>
    </row>
    <row r="2" spans="1:2" x14ac:dyDescent="0.35">
      <c r="A2" s="14" t="s">
        <v>26</v>
      </c>
      <c r="B2">
        <v>25</v>
      </c>
    </row>
    <row r="3" spans="1:2" x14ac:dyDescent="0.35">
      <c r="A3" s="14" t="s">
        <v>31</v>
      </c>
      <c r="B3">
        <v>19</v>
      </c>
    </row>
    <row r="4" spans="1:2" x14ac:dyDescent="0.35">
      <c r="A4" s="14" t="s">
        <v>62</v>
      </c>
      <c r="B4">
        <v>32</v>
      </c>
    </row>
    <row r="5" spans="1:2" x14ac:dyDescent="0.35">
      <c r="A5" s="14" t="s">
        <v>39</v>
      </c>
      <c r="B5">
        <v>34</v>
      </c>
    </row>
    <row r="6" spans="1:2" x14ac:dyDescent="0.35">
      <c r="A6" s="14" t="s">
        <v>42</v>
      </c>
      <c r="B6">
        <v>37</v>
      </c>
    </row>
    <row r="7" spans="1:2" x14ac:dyDescent="0.35">
      <c r="A7" s="14" t="s">
        <v>16</v>
      </c>
      <c r="B7">
        <v>25</v>
      </c>
    </row>
    <row r="8" spans="1:2" x14ac:dyDescent="0.35">
      <c r="A8" s="14" t="s">
        <v>48</v>
      </c>
      <c r="B8">
        <v>29</v>
      </c>
    </row>
    <row r="9" spans="1:2" x14ac:dyDescent="0.35">
      <c r="A9" s="14" t="s">
        <v>70</v>
      </c>
      <c r="B9">
        <v>25</v>
      </c>
    </row>
    <row r="10" spans="1:2" x14ac:dyDescent="0.35">
      <c r="A10" s="14" t="s">
        <v>20</v>
      </c>
      <c r="B10">
        <v>28</v>
      </c>
    </row>
    <row r="11" spans="1:2" x14ac:dyDescent="0.35">
      <c r="A11" s="14" t="s">
        <v>85</v>
      </c>
      <c r="B11">
        <v>17</v>
      </c>
    </row>
    <row r="12" spans="1:2" x14ac:dyDescent="0.35">
      <c r="A12" s="14" t="s">
        <v>35</v>
      </c>
      <c r="B12">
        <v>16</v>
      </c>
    </row>
    <row r="13" spans="1:2" x14ac:dyDescent="0.35">
      <c r="A13" s="14" t="s">
        <v>169</v>
      </c>
      <c r="B13">
        <v>13</v>
      </c>
    </row>
    <row r="14" spans="1:2" x14ac:dyDescent="0.35">
      <c r="A14" s="14" t="s">
        <v>560</v>
      </c>
      <c r="B14">
        <v>300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8DD7-E4AD-4B4A-A690-99A130F56AEB}">
  <dimension ref="A1:D14"/>
  <sheetViews>
    <sheetView workbookViewId="0">
      <selection activeCell="B19" sqref="B19"/>
    </sheetView>
  </sheetViews>
  <sheetFormatPr defaultRowHeight="14.5" x14ac:dyDescent="0.35"/>
  <cols>
    <col min="1" max="1" width="32" bestFit="1" customWidth="1"/>
    <col min="2" max="2" width="19.453125" bestFit="1" customWidth="1"/>
    <col min="3" max="3" width="14.36328125" bestFit="1" customWidth="1"/>
    <col min="4" max="4" width="15.81640625" bestFit="1" customWidth="1"/>
  </cols>
  <sheetData>
    <row r="1" spans="1:4" x14ac:dyDescent="0.35">
      <c r="A1" s="13" t="s">
        <v>559</v>
      </c>
      <c r="B1" t="s">
        <v>597</v>
      </c>
      <c r="C1" t="s">
        <v>598</v>
      </c>
      <c r="D1" t="s">
        <v>596</v>
      </c>
    </row>
    <row r="2" spans="1:4" x14ac:dyDescent="0.35">
      <c r="A2" s="14" t="s">
        <v>26</v>
      </c>
      <c r="B2" s="15">
        <v>637.55999999999995</v>
      </c>
      <c r="C2" s="15">
        <v>13327.8</v>
      </c>
      <c r="D2" s="15">
        <v>892.8</v>
      </c>
    </row>
    <row r="3" spans="1:4" x14ac:dyDescent="0.35">
      <c r="A3" s="14" t="s">
        <v>31</v>
      </c>
      <c r="B3" s="15">
        <v>535.68421052631584</v>
      </c>
      <c r="C3" s="15">
        <v>12987</v>
      </c>
      <c r="D3" s="15">
        <v>900.36842105263156</v>
      </c>
    </row>
    <row r="4" spans="1:4" x14ac:dyDescent="0.35">
      <c r="A4" s="14" t="s">
        <v>62</v>
      </c>
      <c r="B4" s="15">
        <v>567.59375</v>
      </c>
      <c r="C4" s="15">
        <v>14262.09375</v>
      </c>
      <c r="D4" s="15">
        <v>869.34375</v>
      </c>
    </row>
    <row r="5" spans="1:4" x14ac:dyDescent="0.35">
      <c r="A5" s="14" t="s">
        <v>39</v>
      </c>
      <c r="B5" s="15">
        <v>584.76470588235293</v>
      </c>
      <c r="C5" s="15">
        <v>13437.176470588236</v>
      </c>
      <c r="D5" s="15">
        <v>875.88235294117646</v>
      </c>
    </row>
    <row r="6" spans="1:4" x14ac:dyDescent="0.35">
      <c r="A6" s="14" t="s">
        <v>42</v>
      </c>
      <c r="B6" s="15">
        <v>576.91891891891896</v>
      </c>
      <c r="C6" s="15">
        <v>13986.108108108108</v>
      </c>
      <c r="D6" s="15">
        <v>880.54054054054052</v>
      </c>
    </row>
    <row r="7" spans="1:4" x14ac:dyDescent="0.35">
      <c r="A7" s="14" t="s">
        <v>16</v>
      </c>
      <c r="B7" s="15">
        <v>560.12</v>
      </c>
      <c r="C7" s="15">
        <v>13057.88</v>
      </c>
      <c r="D7" s="15">
        <v>980.64</v>
      </c>
    </row>
    <row r="8" spans="1:4" x14ac:dyDescent="0.35">
      <c r="A8" s="14" t="s">
        <v>48</v>
      </c>
      <c r="B8" s="15">
        <v>541.13793103448279</v>
      </c>
      <c r="C8" s="15">
        <v>15420.51724137931</v>
      </c>
      <c r="D8" s="15">
        <v>803.65517241379314</v>
      </c>
    </row>
    <row r="9" spans="1:4" x14ac:dyDescent="0.35">
      <c r="A9" s="14" t="s">
        <v>70</v>
      </c>
      <c r="B9" s="15">
        <v>562.12</v>
      </c>
      <c r="C9" s="15">
        <v>13856.76</v>
      </c>
      <c r="D9" s="15">
        <v>802.2</v>
      </c>
    </row>
    <row r="10" spans="1:4" x14ac:dyDescent="0.35">
      <c r="A10" s="14" t="s">
        <v>20</v>
      </c>
      <c r="B10" s="15">
        <v>531.75</v>
      </c>
      <c r="C10" s="15">
        <v>13015.321428571429</v>
      </c>
      <c r="D10" s="15">
        <v>901.46428571428567</v>
      </c>
    </row>
    <row r="11" spans="1:4" x14ac:dyDescent="0.35">
      <c r="A11" s="14" t="s">
        <v>85</v>
      </c>
      <c r="B11" s="15">
        <v>626.05882352941171</v>
      </c>
      <c r="C11" s="15">
        <v>12777.235294117647</v>
      </c>
      <c r="D11" s="15">
        <v>814.35294117647061</v>
      </c>
    </row>
    <row r="12" spans="1:4" x14ac:dyDescent="0.35">
      <c r="A12" s="14" t="s">
        <v>35</v>
      </c>
      <c r="B12" s="15">
        <v>574.875</v>
      </c>
      <c r="C12" s="15">
        <v>14377.6875</v>
      </c>
      <c r="D12" s="15">
        <v>806.5625</v>
      </c>
    </row>
    <row r="13" spans="1:4" x14ac:dyDescent="0.35">
      <c r="A13" s="14" t="s">
        <v>169</v>
      </c>
      <c r="B13" s="15">
        <v>646.23076923076928</v>
      </c>
      <c r="C13" s="15">
        <v>9616.3076923076915</v>
      </c>
      <c r="D13" s="15">
        <v>908.69230769230774</v>
      </c>
    </row>
    <row r="14" spans="1:4" x14ac:dyDescent="0.35">
      <c r="A14" s="14" t="s">
        <v>560</v>
      </c>
      <c r="B14" s="15">
        <v>574.62666666666667</v>
      </c>
      <c r="C14" s="15">
        <v>13558.143333333333</v>
      </c>
      <c r="D14" s="15">
        <v>870.95333333333338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DD56-55B5-44AF-A9B0-5CB50166B4B8}">
  <dimension ref="A1:D6"/>
  <sheetViews>
    <sheetView workbookViewId="0">
      <selection activeCell="C10" sqref="C10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5.81640625" bestFit="1" customWidth="1"/>
    <col min="4" max="4" width="19.453125" bestFit="1" customWidth="1"/>
  </cols>
  <sheetData>
    <row r="1" spans="1:4" x14ac:dyDescent="0.35">
      <c r="A1" s="13" t="s">
        <v>559</v>
      </c>
      <c r="B1" t="s">
        <v>598</v>
      </c>
      <c r="C1" t="s">
        <v>596</v>
      </c>
      <c r="D1" t="s">
        <v>597</v>
      </c>
    </row>
    <row r="2" spans="1:4" x14ac:dyDescent="0.35">
      <c r="A2" s="14" t="s">
        <v>38</v>
      </c>
      <c r="B2" s="15">
        <v>13039.91304347826</v>
      </c>
      <c r="C2" s="15">
        <v>884.02173913043475</v>
      </c>
      <c r="D2" s="15">
        <v>591.10869565217388</v>
      </c>
    </row>
    <row r="3" spans="1:4" x14ac:dyDescent="0.35">
      <c r="A3" s="14" t="s">
        <v>15</v>
      </c>
      <c r="B3" s="15">
        <v>13110.411764705883</v>
      </c>
      <c r="C3" s="15">
        <v>839.61764705882354</v>
      </c>
      <c r="D3" s="15">
        <v>574.45588235294122</v>
      </c>
    </row>
    <row r="4" spans="1:4" x14ac:dyDescent="0.35">
      <c r="A4" s="14" t="s">
        <v>25</v>
      </c>
      <c r="B4" s="15">
        <v>13363.40579710145</v>
      </c>
      <c r="C4" s="15">
        <v>908.85507246376812</v>
      </c>
      <c r="D4" s="15">
        <v>544.49275362318838</v>
      </c>
    </row>
    <row r="5" spans="1:4" x14ac:dyDescent="0.35">
      <c r="A5" s="14" t="s">
        <v>30</v>
      </c>
      <c r="B5" s="15">
        <v>14847.718309859154</v>
      </c>
      <c r="C5" s="15">
        <v>847.19718309859149</v>
      </c>
      <c r="D5" s="15">
        <v>582.71830985915494</v>
      </c>
    </row>
    <row r="6" spans="1:4" x14ac:dyDescent="0.35">
      <c r="A6" s="14" t="s">
        <v>560</v>
      </c>
      <c r="B6" s="15">
        <v>13558.143333333333</v>
      </c>
      <c r="C6" s="15">
        <v>870.95333333333338</v>
      </c>
      <c r="D6" s="15">
        <v>574.62666666666667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6EB1-5643-4C45-8AEA-729277C3F9A7}">
  <dimension ref="A1:F13"/>
  <sheetViews>
    <sheetView workbookViewId="0">
      <selection activeCell="B16" sqref="B16"/>
    </sheetView>
  </sheetViews>
  <sheetFormatPr defaultRowHeight="14.5" x14ac:dyDescent="0.35"/>
  <cols>
    <col min="1" max="1" width="25.6328125" bestFit="1" customWidth="1"/>
    <col min="2" max="2" width="15.26953125" bestFit="1" customWidth="1"/>
    <col min="3" max="3" width="5.90625" bestFit="1" customWidth="1"/>
    <col min="4" max="4" width="6" bestFit="1" customWidth="1"/>
    <col min="5" max="5" width="5.81640625" bestFit="1" customWidth="1"/>
    <col min="6" max="6" width="10.7265625" bestFit="1" customWidth="1"/>
  </cols>
  <sheetData>
    <row r="1" spans="1:6" x14ac:dyDescent="0.35">
      <c r="A1" s="13" t="s">
        <v>599</v>
      </c>
      <c r="B1" s="13" t="s">
        <v>563</v>
      </c>
    </row>
    <row r="2" spans="1:6" x14ac:dyDescent="0.35">
      <c r="A2" s="13" t="s">
        <v>559</v>
      </c>
      <c r="B2" t="s">
        <v>38</v>
      </c>
      <c r="C2" t="s">
        <v>15</v>
      </c>
      <c r="D2" t="s">
        <v>25</v>
      </c>
      <c r="E2" t="s">
        <v>30</v>
      </c>
      <c r="F2" t="s">
        <v>560</v>
      </c>
    </row>
    <row r="3" spans="1:6" x14ac:dyDescent="0.35">
      <c r="A3" s="14" t="s">
        <v>23</v>
      </c>
      <c r="B3" s="15">
        <v>15603.636363636364</v>
      </c>
      <c r="C3" s="15">
        <v>13805.45</v>
      </c>
      <c r="D3" s="15">
        <v>17203.866666666665</v>
      </c>
      <c r="E3" s="15">
        <v>17105.411764705881</v>
      </c>
      <c r="F3" s="15">
        <v>15787.013513513513</v>
      </c>
    </row>
    <row r="4" spans="1:6" x14ac:dyDescent="0.35">
      <c r="A4" s="14" t="s">
        <v>19</v>
      </c>
      <c r="B4" s="15">
        <v>15612.95</v>
      </c>
      <c r="C4" s="15">
        <v>16871.875</v>
      </c>
      <c r="D4" s="15">
        <v>17985.57894736842</v>
      </c>
      <c r="E4" s="15">
        <v>18442.555555555555</v>
      </c>
      <c r="F4" s="15">
        <v>17171.308641975309</v>
      </c>
    </row>
    <row r="5" spans="1:6" x14ac:dyDescent="0.35">
      <c r="A5" s="14" t="s">
        <v>46</v>
      </c>
      <c r="B5" s="15">
        <v>18151.153846153848</v>
      </c>
      <c r="C5" s="15">
        <v>19335.555555555555</v>
      </c>
      <c r="D5" s="15">
        <v>17037.888888888891</v>
      </c>
      <c r="E5" s="15">
        <v>19244.133333333335</v>
      </c>
      <c r="F5" s="15">
        <v>18254.323529411766</v>
      </c>
    </row>
    <row r="6" spans="1:6" x14ac:dyDescent="0.35">
      <c r="A6" s="14" t="s">
        <v>13</v>
      </c>
      <c r="B6" s="15">
        <v>14618.291666666666</v>
      </c>
      <c r="C6" s="15">
        <v>15890.933333333332</v>
      </c>
      <c r="D6" s="15">
        <v>14034.470588235294</v>
      </c>
      <c r="E6" s="15">
        <v>16901.142857142859</v>
      </c>
      <c r="F6" s="15">
        <v>15359.90909090909</v>
      </c>
    </row>
    <row r="7" spans="1:6" x14ac:dyDescent="0.35">
      <c r="A7" s="14" t="s">
        <v>560</v>
      </c>
      <c r="B7" s="15">
        <v>16068.565217391304</v>
      </c>
      <c r="C7" s="15">
        <v>16079.676470588236</v>
      </c>
      <c r="D7" s="15">
        <v>16594.956521739132</v>
      </c>
      <c r="E7" s="15">
        <v>17835.830985915494</v>
      </c>
      <c r="F7" s="15">
        <v>16610.406666666666</v>
      </c>
    </row>
    <row r="10" spans="1:6" x14ac:dyDescent="0.35">
      <c r="A10" s="14" t="s">
        <v>600</v>
      </c>
    </row>
    <row r="11" spans="1:6" x14ac:dyDescent="0.35">
      <c r="A11" s="14" t="s">
        <v>601</v>
      </c>
    </row>
    <row r="12" spans="1:6" x14ac:dyDescent="0.35">
      <c r="A12" s="14" t="s">
        <v>602</v>
      </c>
    </row>
    <row r="13" spans="1:6" x14ac:dyDescent="0.35">
      <c r="A13" s="14" t="s">
        <v>603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8B73-9487-431E-8D26-E38B01FC8F1F}">
  <dimension ref="A1:C301"/>
  <sheetViews>
    <sheetView workbookViewId="0">
      <selection activeCell="G11" sqref="G11"/>
    </sheetView>
  </sheetViews>
  <sheetFormatPr defaultRowHeight="14.5" x14ac:dyDescent="0.35"/>
  <sheetData>
    <row r="1" spans="1:3" x14ac:dyDescent="0.35">
      <c r="A1" s="1" t="s">
        <v>1</v>
      </c>
      <c r="B1" s="1" t="s">
        <v>3</v>
      </c>
      <c r="C1" s="11" t="s">
        <v>588</v>
      </c>
    </row>
    <row r="2" spans="1:3" x14ac:dyDescent="0.35">
      <c r="A2" s="3" t="s">
        <v>13</v>
      </c>
      <c r="B2" s="3" t="s">
        <v>15</v>
      </c>
      <c r="C2" s="7">
        <v>29141</v>
      </c>
    </row>
    <row r="3" spans="1:3" x14ac:dyDescent="0.35">
      <c r="A3" s="3" t="s">
        <v>19</v>
      </c>
      <c r="B3" s="3" t="s">
        <v>15</v>
      </c>
      <c r="C3" s="7">
        <v>7899</v>
      </c>
    </row>
    <row r="4" spans="1:3" x14ac:dyDescent="0.35">
      <c r="A4" s="3" t="s">
        <v>23</v>
      </c>
      <c r="B4" s="3" t="s">
        <v>25</v>
      </c>
      <c r="C4" s="7">
        <v>22920</v>
      </c>
    </row>
    <row r="5" spans="1:3" x14ac:dyDescent="0.35">
      <c r="A5" s="3" t="s">
        <v>13</v>
      </c>
      <c r="B5" s="3" t="s">
        <v>30</v>
      </c>
      <c r="C5" s="7">
        <v>6903</v>
      </c>
    </row>
    <row r="6" spans="1:3" x14ac:dyDescent="0.35">
      <c r="A6" s="3" t="s">
        <v>13</v>
      </c>
      <c r="B6" s="3" t="s">
        <v>30</v>
      </c>
      <c r="C6" s="7">
        <v>23673</v>
      </c>
    </row>
    <row r="7" spans="1:3" x14ac:dyDescent="0.35">
      <c r="A7" s="3" t="s">
        <v>19</v>
      </c>
      <c r="B7" s="3" t="s">
        <v>15</v>
      </c>
      <c r="C7" s="7">
        <v>16722</v>
      </c>
    </row>
    <row r="8" spans="1:3" x14ac:dyDescent="0.35">
      <c r="A8" s="3" t="s">
        <v>23</v>
      </c>
      <c r="B8" s="3" t="s">
        <v>38</v>
      </c>
      <c r="C8" s="7">
        <v>9041</v>
      </c>
    </row>
    <row r="9" spans="1:3" x14ac:dyDescent="0.35">
      <c r="A9" s="3" t="s">
        <v>23</v>
      </c>
      <c r="B9" s="3" t="s">
        <v>30</v>
      </c>
      <c r="C9" s="7">
        <v>22908</v>
      </c>
    </row>
    <row r="10" spans="1:3" x14ac:dyDescent="0.35">
      <c r="A10" s="3" t="s">
        <v>13</v>
      </c>
      <c r="B10" s="3" t="s">
        <v>38</v>
      </c>
      <c r="C10" s="7">
        <v>9656</v>
      </c>
    </row>
    <row r="11" spans="1:3" x14ac:dyDescent="0.35">
      <c r="A11" s="3" t="s">
        <v>46</v>
      </c>
      <c r="B11" s="3" t="s">
        <v>30</v>
      </c>
      <c r="C11" s="7">
        <v>22810</v>
      </c>
    </row>
    <row r="12" spans="1:3" x14ac:dyDescent="0.35">
      <c r="A12" s="3" t="s">
        <v>13</v>
      </c>
      <c r="B12" s="3" t="s">
        <v>38</v>
      </c>
      <c r="C12" s="7">
        <v>14979</v>
      </c>
    </row>
    <row r="13" spans="1:3" x14ac:dyDescent="0.35">
      <c r="A13" s="3" t="s">
        <v>13</v>
      </c>
      <c r="B13" s="3" t="s">
        <v>25</v>
      </c>
      <c r="C13" s="7">
        <v>5068</v>
      </c>
    </row>
    <row r="14" spans="1:3" x14ac:dyDescent="0.35">
      <c r="A14" s="3" t="s">
        <v>13</v>
      </c>
      <c r="B14" s="3" t="s">
        <v>38</v>
      </c>
      <c r="C14" s="7">
        <v>24956</v>
      </c>
    </row>
    <row r="15" spans="1:3" x14ac:dyDescent="0.35">
      <c r="A15" s="3" t="s">
        <v>13</v>
      </c>
      <c r="B15" s="3" t="s">
        <v>25</v>
      </c>
      <c r="C15" s="7">
        <v>11015</v>
      </c>
    </row>
    <row r="16" spans="1:3" x14ac:dyDescent="0.35">
      <c r="A16" s="3" t="s">
        <v>19</v>
      </c>
      <c r="B16" s="3" t="s">
        <v>25</v>
      </c>
      <c r="C16" s="7">
        <v>5412</v>
      </c>
    </row>
    <row r="17" spans="1:3" x14ac:dyDescent="0.35">
      <c r="A17" s="3" t="s">
        <v>23</v>
      </c>
      <c r="B17" s="3" t="s">
        <v>38</v>
      </c>
      <c r="C17" s="7">
        <v>8520</v>
      </c>
    </row>
    <row r="18" spans="1:3" x14ac:dyDescent="0.35">
      <c r="A18" s="3" t="s">
        <v>19</v>
      </c>
      <c r="B18" s="3" t="s">
        <v>25</v>
      </c>
      <c r="C18" s="7">
        <v>14990</v>
      </c>
    </row>
    <row r="19" spans="1:3" x14ac:dyDescent="0.35">
      <c r="A19" s="3" t="s">
        <v>19</v>
      </c>
      <c r="B19" s="3" t="s">
        <v>15</v>
      </c>
      <c r="C19" s="7">
        <v>17679</v>
      </c>
    </row>
    <row r="20" spans="1:3" x14ac:dyDescent="0.35">
      <c r="A20" s="3" t="s">
        <v>19</v>
      </c>
      <c r="B20" s="3" t="s">
        <v>25</v>
      </c>
      <c r="C20" s="7">
        <v>20424</v>
      </c>
    </row>
    <row r="21" spans="1:3" x14ac:dyDescent="0.35">
      <c r="A21" s="3" t="s">
        <v>13</v>
      </c>
      <c r="B21" s="3" t="s">
        <v>30</v>
      </c>
      <c r="C21" s="7">
        <v>9136</v>
      </c>
    </row>
    <row r="22" spans="1:3" x14ac:dyDescent="0.35">
      <c r="A22" s="3" t="s">
        <v>46</v>
      </c>
      <c r="B22" s="3" t="s">
        <v>38</v>
      </c>
      <c r="C22" s="7">
        <v>26323</v>
      </c>
    </row>
    <row r="23" spans="1:3" x14ac:dyDescent="0.35">
      <c r="A23" s="3" t="s">
        <v>23</v>
      </c>
      <c r="B23" s="3" t="s">
        <v>15</v>
      </c>
      <c r="C23" s="7">
        <v>12565</v>
      </c>
    </row>
    <row r="24" spans="1:3" x14ac:dyDescent="0.35">
      <c r="A24" s="3" t="s">
        <v>46</v>
      </c>
      <c r="B24" s="3" t="s">
        <v>38</v>
      </c>
      <c r="C24" s="7">
        <v>12652</v>
      </c>
    </row>
    <row r="25" spans="1:3" x14ac:dyDescent="0.35">
      <c r="A25" s="3" t="s">
        <v>19</v>
      </c>
      <c r="B25" s="3" t="s">
        <v>30</v>
      </c>
      <c r="C25" s="7">
        <v>26486</v>
      </c>
    </row>
    <row r="26" spans="1:3" x14ac:dyDescent="0.35">
      <c r="A26" s="3" t="s">
        <v>19</v>
      </c>
      <c r="B26" s="3" t="s">
        <v>30</v>
      </c>
      <c r="C26" s="7">
        <v>18165</v>
      </c>
    </row>
    <row r="27" spans="1:3" x14ac:dyDescent="0.35">
      <c r="A27" s="3" t="s">
        <v>46</v>
      </c>
      <c r="B27" s="3" t="s">
        <v>30</v>
      </c>
      <c r="C27" s="7">
        <v>24443</v>
      </c>
    </row>
    <row r="28" spans="1:3" x14ac:dyDescent="0.35">
      <c r="A28" s="3" t="s">
        <v>46</v>
      </c>
      <c r="B28" s="3" t="s">
        <v>25</v>
      </c>
      <c r="C28" s="7">
        <v>23373</v>
      </c>
    </row>
    <row r="29" spans="1:3" x14ac:dyDescent="0.35">
      <c r="A29" s="3" t="s">
        <v>46</v>
      </c>
      <c r="B29" s="3" t="s">
        <v>25</v>
      </c>
      <c r="C29" s="7">
        <v>15896</v>
      </c>
    </row>
    <row r="30" spans="1:3" x14ac:dyDescent="0.35">
      <c r="A30" s="3" t="s">
        <v>19</v>
      </c>
      <c r="B30" s="3" t="s">
        <v>38</v>
      </c>
      <c r="C30" s="7">
        <v>13893</v>
      </c>
    </row>
    <row r="31" spans="1:3" x14ac:dyDescent="0.35">
      <c r="A31" s="3" t="s">
        <v>19</v>
      </c>
      <c r="B31" s="3" t="s">
        <v>38</v>
      </c>
      <c r="C31" s="7">
        <v>14686</v>
      </c>
    </row>
    <row r="32" spans="1:3" x14ac:dyDescent="0.35">
      <c r="A32" s="3" t="s">
        <v>23</v>
      </c>
      <c r="B32" s="3" t="s">
        <v>15</v>
      </c>
      <c r="C32" s="7">
        <v>5794</v>
      </c>
    </row>
    <row r="33" spans="1:3" x14ac:dyDescent="0.35">
      <c r="A33" s="3" t="s">
        <v>23</v>
      </c>
      <c r="B33" s="3" t="s">
        <v>15</v>
      </c>
      <c r="C33" s="7">
        <v>4501</v>
      </c>
    </row>
    <row r="34" spans="1:3" x14ac:dyDescent="0.35">
      <c r="A34" s="3" t="s">
        <v>19</v>
      </c>
      <c r="B34" s="3" t="s">
        <v>38</v>
      </c>
      <c r="C34" s="7">
        <v>14246</v>
      </c>
    </row>
    <row r="35" spans="1:3" x14ac:dyDescent="0.35">
      <c r="A35" s="3" t="s">
        <v>46</v>
      </c>
      <c r="B35" s="3" t="s">
        <v>25</v>
      </c>
      <c r="C35" s="7">
        <v>20628</v>
      </c>
    </row>
    <row r="36" spans="1:3" x14ac:dyDescent="0.35">
      <c r="A36" s="3" t="s">
        <v>46</v>
      </c>
      <c r="B36" s="3" t="s">
        <v>30</v>
      </c>
      <c r="C36" s="7">
        <v>17456</v>
      </c>
    </row>
    <row r="37" spans="1:3" x14ac:dyDescent="0.35">
      <c r="A37" s="3" t="s">
        <v>23</v>
      </c>
      <c r="B37" s="3" t="s">
        <v>38</v>
      </c>
      <c r="C37" s="7">
        <v>22339</v>
      </c>
    </row>
    <row r="38" spans="1:3" x14ac:dyDescent="0.35">
      <c r="A38" s="3" t="s">
        <v>19</v>
      </c>
      <c r="B38" s="3" t="s">
        <v>15</v>
      </c>
      <c r="C38" s="7">
        <v>14691</v>
      </c>
    </row>
    <row r="39" spans="1:3" x14ac:dyDescent="0.35">
      <c r="A39" s="3" t="s">
        <v>23</v>
      </c>
      <c r="B39" s="3" t="s">
        <v>25</v>
      </c>
      <c r="C39" s="7">
        <v>12340</v>
      </c>
    </row>
    <row r="40" spans="1:3" x14ac:dyDescent="0.35">
      <c r="A40" s="3" t="s">
        <v>23</v>
      </c>
      <c r="B40" s="3" t="s">
        <v>38</v>
      </c>
      <c r="C40" s="7">
        <v>19266</v>
      </c>
    </row>
    <row r="41" spans="1:3" x14ac:dyDescent="0.35">
      <c r="A41" s="3" t="s">
        <v>13</v>
      </c>
      <c r="B41" s="3" t="s">
        <v>38</v>
      </c>
      <c r="C41" s="7">
        <v>23465</v>
      </c>
    </row>
    <row r="42" spans="1:3" x14ac:dyDescent="0.35">
      <c r="A42" s="3" t="s">
        <v>13</v>
      </c>
      <c r="B42" s="3" t="s">
        <v>25</v>
      </c>
      <c r="C42" s="7">
        <v>8623</v>
      </c>
    </row>
    <row r="43" spans="1:3" x14ac:dyDescent="0.35">
      <c r="A43" s="3" t="s">
        <v>13</v>
      </c>
      <c r="B43" s="3" t="s">
        <v>38</v>
      </c>
      <c r="C43" s="7">
        <v>15806</v>
      </c>
    </row>
    <row r="44" spans="1:3" x14ac:dyDescent="0.35">
      <c r="A44" s="3" t="s">
        <v>46</v>
      </c>
      <c r="B44" s="3" t="s">
        <v>25</v>
      </c>
      <c r="C44" s="7">
        <v>9144</v>
      </c>
    </row>
    <row r="45" spans="1:3" x14ac:dyDescent="0.35">
      <c r="A45" s="3" t="s">
        <v>19</v>
      </c>
      <c r="B45" s="3" t="s">
        <v>30</v>
      </c>
      <c r="C45" s="7">
        <v>25601</v>
      </c>
    </row>
    <row r="46" spans="1:3" x14ac:dyDescent="0.35">
      <c r="A46" s="3" t="s">
        <v>19</v>
      </c>
      <c r="B46" s="3" t="s">
        <v>25</v>
      </c>
      <c r="C46" s="7">
        <v>19483</v>
      </c>
    </row>
    <row r="47" spans="1:3" x14ac:dyDescent="0.35">
      <c r="A47" s="3" t="s">
        <v>19</v>
      </c>
      <c r="B47" s="3" t="s">
        <v>25</v>
      </c>
      <c r="C47" s="7">
        <v>19789</v>
      </c>
    </row>
    <row r="48" spans="1:3" x14ac:dyDescent="0.35">
      <c r="A48" s="3" t="s">
        <v>19</v>
      </c>
      <c r="B48" s="3" t="s">
        <v>25</v>
      </c>
      <c r="C48" s="7">
        <v>28908</v>
      </c>
    </row>
    <row r="49" spans="1:3" x14ac:dyDescent="0.35">
      <c r="A49" s="3" t="s">
        <v>13</v>
      </c>
      <c r="B49" s="3" t="s">
        <v>38</v>
      </c>
      <c r="C49" s="7">
        <v>11547</v>
      </c>
    </row>
    <row r="50" spans="1:3" x14ac:dyDescent="0.35">
      <c r="A50" s="3" t="s">
        <v>46</v>
      </c>
      <c r="B50" s="3" t="s">
        <v>38</v>
      </c>
      <c r="C50" s="7">
        <v>8065</v>
      </c>
    </row>
    <row r="51" spans="1:3" x14ac:dyDescent="0.35">
      <c r="A51" s="3" t="s">
        <v>46</v>
      </c>
      <c r="B51" s="3" t="s">
        <v>25</v>
      </c>
      <c r="C51" s="7">
        <v>19192</v>
      </c>
    </row>
    <row r="52" spans="1:3" x14ac:dyDescent="0.35">
      <c r="A52" s="3" t="s">
        <v>13</v>
      </c>
      <c r="B52" s="3" t="s">
        <v>38</v>
      </c>
      <c r="C52" s="7">
        <v>26074</v>
      </c>
    </row>
    <row r="53" spans="1:3" x14ac:dyDescent="0.35">
      <c r="A53" s="3" t="s">
        <v>46</v>
      </c>
      <c r="B53" s="3" t="s">
        <v>15</v>
      </c>
      <c r="C53" s="7">
        <v>22328</v>
      </c>
    </row>
    <row r="54" spans="1:3" x14ac:dyDescent="0.35">
      <c r="A54" s="3" t="s">
        <v>13</v>
      </c>
      <c r="B54" s="3" t="s">
        <v>15</v>
      </c>
      <c r="C54" s="7">
        <v>26768</v>
      </c>
    </row>
    <row r="55" spans="1:3" x14ac:dyDescent="0.35">
      <c r="A55" s="3" t="s">
        <v>19</v>
      </c>
      <c r="B55" s="3" t="s">
        <v>38</v>
      </c>
      <c r="C55" s="7">
        <v>8775</v>
      </c>
    </row>
    <row r="56" spans="1:3" x14ac:dyDescent="0.35">
      <c r="A56" s="3" t="s">
        <v>13</v>
      </c>
      <c r="B56" s="3" t="s">
        <v>38</v>
      </c>
      <c r="C56" s="7">
        <v>10974</v>
      </c>
    </row>
    <row r="57" spans="1:3" x14ac:dyDescent="0.35">
      <c r="A57" s="3" t="s">
        <v>19</v>
      </c>
      <c r="B57" s="3" t="s">
        <v>25</v>
      </c>
      <c r="C57" s="7">
        <v>18182</v>
      </c>
    </row>
    <row r="58" spans="1:3" x14ac:dyDescent="0.35">
      <c r="A58" s="3" t="s">
        <v>19</v>
      </c>
      <c r="B58" s="3" t="s">
        <v>30</v>
      </c>
      <c r="C58" s="7">
        <v>16057</v>
      </c>
    </row>
    <row r="59" spans="1:3" x14ac:dyDescent="0.35">
      <c r="A59" s="3" t="s">
        <v>23</v>
      </c>
      <c r="B59" s="3" t="s">
        <v>38</v>
      </c>
      <c r="C59" s="7">
        <v>9215</v>
      </c>
    </row>
    <row r="60" spans="1:3" x14ac:dyDescent="0.35">
      <c r="A60" s="3" t="s">
        <v>13</v>
      </c>
      <c r="B60" s="3" t="s">
        <v>15</v>
      </c>
      <c r="C60" s="7">
        <v>18868</v>
      </c>
    </row>
    <row r="61" spans="1:3" x14ac:dyDescent="0.35">
      <c r="A61" s="3" t="s">
        <v>23</v>
      </c>
      <c r="B61" s="3" t="s">
        <v>25</v>
      </c>
      <c r="C61" s="7">
        <v>12903</v>
      </c>
    </row>
    <row r="62" spans="1:3" x14ac:dyDescent="0.35">
      <c r="A62" s="3" t="s">
        <v>13</v>
      </c>
      <c r="B62" s="3" t="s">
        <v>38</v>
      </c>
      <c r="C62" s="7">
        <v>19598</v>
      </c>
    </row>
    <row r="63" spans="1:3" x14ac:dyDescent="0.35">
      <c r="A63" s="3" t="s">
        <v>13</v>
      </c>
      <c r="B63" s="3" t="s">
        <v>15</v>
      </c>
      <c r="C63" s="7">
        <v>20392</v>
      </c>
    </row>
    <row r="64" spans="1:3" x14ac:dyDescent="0.35">
      <c r="A64" s="3" t="s">
        <v>23</v>
      </c>
      <c r="B64" s="3" t="s">
        <v>15</v>
      </c>
      <c r="C64" s="7">
        <v>14671</v>
      </c>
    </row>
    <row r="65" spans="1:3" x14ac:dyDescent="0.35">
      <c r="A65" s="3" t="s">
        <v>23</v>
      </c>
      <c r="B65" s="3" t="s">
        <v>30</v>
      </c>
      <c r="C65" s="7">
        <v>21615</v>
      </c>
    </row>
    <row r="66" spans="1:3" x14ac:dyDescent="0.35">
      <c r="A66" s="3" t="s">
        <v>13</v>
      </c>
      <c r="B66" s="3" t="s">
        <v>25</v>
      </c>
      <c r="C66" s="7">
        <v>10638</v>
      </c>
    </row>
    <row r="67" spans="1:3" x14ac:dyDescent="0.35">
      <c r="A67" s="3" t="s">
        <v>46</v>
      </c>
      <c r="B67" s="3" t="s">
        <v>25</v>
      </c>
      <c r="C67" s="7">
        <v>15017</v>
      </c>
    </row>
    <row r="68" spans="1:3" x14ac:dyDescent="0.35">
      <c r="A68" s="3" t="s">
        <v>19</v>
      </c>
      <c r="B68" s="3" t="s">
        <v>30</v>
      </c>
      <c r="C68" s="7">
        <v>22595</v>
      </c>
    </row>
    <row r="69" spans="1:3" x14ac:dyDescent="0.35">
      <c r="A69" s="3" t="s">
        <v>23</v>
      </c>
      <c r="B69" s="3" t="s">
        <v>30</v>
      </c>
      <c r="C69" s="7">
        <v>13256</v>
      </c>
    </row>
    <row r="70" spans="1:3" x14ac:dyDescent="0.35">
      <c r="A70" s="3" t="s">
        <v>19</v>
      </c>
      <c r="B70" s="3" t="s">
        <v>25</v>
      </c>
      <c r="C70" s="7">
        <v>14611</v>
      </c>
    </row>
    <row r="71" spans="1:3" x14ac:dyDescent="0.35">
      <c r="A71" s="3" t="s">
        <v>46</v>
      </c>
      <c r="B71" s="3" t="s">
        <v>25</v>
      </c>
      <c r="C71" s="7">
        <v>10400</v>
      </c>
    </row>
    <row r="72" spans="1:3" x14ac:dyDescent="0.35">
      <c r="A72" s="3" t="s">
        <v>46</v>
      </c>
      <c r="B72" s="3" t="s">
        <v>38</v>
      </c>
      <c r="C72" s="7">
        <v>14282</v>
      </c>
    </row>
    <row r="73" spans="1:3" x14ac:dyDescent="0.35">
      <c r="A73" s="3" t="s">
        <v>46</v>
      </c>
      <c r="B73" s="3" t="s">
        <v>38</v>
      </c>
      <c r="C73" s="7">
        <v>27463</v>
      </c>
    </row>
    <row r="74" spans="1:3" x14ac:dyDescent="0.35">
      <c r="A74" s="3" t="s">
        <v>23</v>
      </c>
      <c r="B74" s="3" t="s">
        <v>30</v>
      </c>
      <c r="C74" s="7">
        <v>26221</v>
      </c>
    </row>
    <row r="75" spans="1:3" x14ac:dyDescent="0.35">
      <c r="A75" s="3" t="s">
        <v>46</v>
      </c>
      <c r="B75" s="3" t="s">
        <v>38</v>
      </c>
      <c r="C75" s="7">
        <v>24149</v>
      </c>
    </row>
    <row r="76" spans="1:3" x14ac:dyDescent="0.35">
      <c r="A76" s="3" t="s">
        <v>23</v>
      </c>
      <c r="B76" s="3" t="s">
        <v>15</v>
      </c>
      <c r="C76" s="7">
        <v>25061</v>
      </c>
    </row>
    <row r="77" spans="1:3" x14ac:dyDescent="0.35">
      <c r="A77" s="3" t="s">
        <v>46</v>
      </c>
      <c r="B77" s="3" t="s">
        <v>38</v>
      </c>
      <c r="C77" s="7">
        <v>19323</v>
      </c>
    </row>
    <row r="78" spans="1:3" x14ac:dyDescent="0.35">
      <c r="A78" s="3" t="s">
        <v>19</v>
      </c>
      <c r="B78" s="3" t="s">
        <v>38</v>
      </c>
      <c r="C78" s="7">
        <v>16955</v>
      </c>
    </row>
    <row r="79" spans="1:3" x14ac:dyDescent="0.35">
      <c r="A79" s="3" t="s">
        <v>19</v>
      </c>
      <c r="B79" s="3" t="s">
        <v>15</v>
      </c>
      <c r="C79" s="7">
        <v>6487</v>
      </c>
    </row>
    <row r="80" spans="1:3" x14ac:dyDescent="0.35">
      <c r="A80" s="3" t="s">
        <v>13</v>
      </c>
      <c r="B80" s="3" t="s">
        <v>30</v>
      </c>
      <c r="C80" s="7">
        <v>12087</v>
      </c>
    </row>
    <row r="81" spans="1:3" x14ac:dyDescent="0.35">
      <c r="A81" s="3" t="s">
        <v>19</v>
      </c>
      <c r="B81" s="3" t="s">
        <v>15</v>
      </c>
      <c r="C81" s="7">
        <v>16012</v>
      </c>
    </row>
    <row r="82" spans="1:3" x14ac:dyDescent="0.35">
      <c r="A82" s="3" t="s">
        <v>13</v>
      </c>
      <c r="B82" s="3" t="s">
        <v>38</v>
      </c>
      <c r="C82" s="7">
        <v>8397</v>
      </c>
    </row>
    <row r="83" spans="1:3" x14ac:dyDescent="0.35">
      <c r="A83" s="3" t="s">
        <v>19</v>
      </c>
      <c r="B83" s="3" t="s">
        <v>30</v>
      </c>
      <c r="C83" s="7">
        <v>25971</v>
      </c>
    </row>
    <row r="84" spans="1:3" x14ac:dyDescent="0.35">
      <c r="A84" s="3" t="s">
        <v>23</v>
      </c>
      <c r="B84" s="3" t="s">
        <v>38</v>
      </c>
      <c r="C84" s="7">
        <v>21588</v>
      </c>
    </row>
    <row r="85" spans="1:3" x14ac:dyDescent="0.35">
      <c r="A85" s="3" t="s">
        <v>19</v>
      </c>
      <c r="B85" s="3" t="s">
        <v>15</v>
      </c>
      <c r="C85" s="7">
        <v>16353</v>
      </c>
    </row>
    <row r="86" spans="1:3" x14ac:dyDescent="0.35">
      <c r="A86" s="3" t="s">
        <v>13</v>
      </c>
      <c r="B86" s="3" t="s">
        <v>15</v>
      </c>
      <c r="C86" s="7">
        <v>11329</v>
      </c>
    </row>
    <row r="87" spans="1:3" x14ac:dyDescent="0.35">
      <c r="A87" s="3" t="s">
        <v>13</v>
      </c>
      <c r="B87" s="3" t="s">
        <v>38</v>
      </c>
      <c r="C87" s="7">
        <v>11880</v>
      </c>
    </row>
    <row r="88" spans="1:3" x14ac:dyDescent="0.35">
      <c r="A88" s="3" t="s">
        <v>46</v>
      </c>
      <c r="B88" s="3" t="s">
        <v>25</v>
      </c>
      <c r="C88" s="7">
        <v>15893</v>
      </c>
    </row>
    <row r="89" spans="1:3" x14ac:dyDescent="0.35">
      <c r="A89" s="3" t="s">
        <v>23</v>
      </c>
      <c r="B89" s="3" t="s">
        <v>25</v>
      </c>
      <c r="C89" s="7">
        <v>26907</v>
      </c>
    </row>
    <row r="90" spans="1:3" x14ac:dyDescent="0.35">
      <c r="A90" s="3" t="s">
        <v>19</v>
      </c>
      <c r="B90" s="3" t="s">
        <v>15</v>
      </c>
      <c r="C90" s="7">
        <v>15211</v>
      </c>
    </row>
    <row r="91" spans="1:3" x14ac:dyDescent="0.35">
      <c r="A91" s="3" t="s">
        <v>46</v>
      </c>
      <c r="B91" s="3" t="s">
        <v>15</v>
      </c>
      <c r="C91" s="7">
        <v>11235</v>
      </c>
    </row>
    <row r="92" spans="1:3" x14ac:dyDescent="0.35">
      <c r="A92" s="3" t="s">
        <v>19</v>
      </c>
      <c r="B92" s="3" t="s">
        <v>25</v>
      </c>
      <c r="C92" s="7">
        <v>15658</v>
      </c>
    </row>
    <row r="93" spans="1:3" x14ac:dyDescent="0.35">
      <c r="A93" s="3" t="s">
        <v>19</v>
      </c>
      <c r="B93" s="3" t="s">
        <v>25</v>
      </c>
      <c r="C93" s="7">
        <v>22632</v>
      </c>
    </row>
    <row r="94" spans="1:3" x14ac:dyDescent="0.35">
      <c r="A94" s="3" t="s">
        <v>46</v>
      </c>
      <c r="B94" s="3" t="s">
        <v>38</v>
      </c>
      <c r="C94" s="7">
        <v>24483</v>
      </c>
    </row>
    <row r="95" spans="1:3" x14ac:dyDescent="0.35">
      <c r="A95" s="3" t="s">
        <v>46</v>
      </c>
      <c r="B95" s="3" t="s">
        <v>38</v>
      </c>
      <c r="C95" s="7">
        <v>13470</v>
      </c>
    </row>
    <row r="96" spans="1:3" x14ac:dyDescent="0.35">
      <c r="A96" s="3" t="s">
        <v>46</v>
      </c>
      <c r="B96" s="3" t="s">
        <v>25</v>
      </c>
      <c r="C96" s="7">
        <v>27582</v>
      </c>
    </row>
    <row r="97" spans="1:3" x14ac:dyDescent="0.35">
      <c r="A97" s="3" t="s">
        <v>46</v>
      </c>
      <c r="B97" s="3" t="s">
        <v>38</v>
      </c>
      <c r="C97" s="7">
        <v>10046</v>
      </c>
    </row>
    <row r="98" spans="1:3" x14ac:dyDescent="0.35">
      <c r="A98" s="3" t="s">
        <v>46</v>
      </c>
      <c r="B98" s="3" t="s">
        <v>38</v>
      </c>
      <c r="C98" s="7">
        <v>8741</v>
      </c>
    </row>
    <row r="99" spans="1:3" x14ac:dyDescent="0.35">
      <c r="A99" s="3" t="s">
        <v>19</v>
      </c>
      <c r="B99" s="3" t="s">
        <v>30</v>
      </c>
      <c r="C99" s="7">
        <v>23628</v>
      </c>
    </row>
    <row r="100" spans="1:3" x14ac:dyDescent="0.35">
      <c r="A100" s="3" t="s">
        <v>46</v>
      </c>
      <c r="B100" s="3" t="s">
        <v>38</v>
      </c>
      <c r="C100" s="7">
        <v>14426</v>
      </c>
    </row>
    <row r="101" spans="1:3" x14ac:dyDescent="0.35">
      <c r="A101" s="3" t="s">
        <v>23</v>
      </c>
      <c r="B101" s="3" t="s">
        <v>15</v>
      </c>
      <c r="C101" s="7">
        <v>23500</v>
      </c>
    </row>
    <row r="102" spans="1:3" x14ac:dyDescent="0.35">
      <c r="A102" s="3" t="s">
        <v>13</v>
      </c>
      <c r="B102" s="3" t="s">
        <v>38</v>
      </c>
      <c r="C102" s="7">
        <v>10063</v>
      </c>
    </row>
    <row r="103" spans="1:3" x14ac:dyDescent="0.35">
      <c r="A103" s="3" t="s">
        <v>46</v>
      </c>
      <c r="B103" s="3" t="s">
        <v>38</v>
      </c>
      <c r="C103" s="7">
        <v>12595</v>
      </c>
    </row>
    <row r="104" spans="1:3" x14ac:dyDescent="0.35">
      <c r="A104" s="3" t="s">
        <v>46</v>
      </c>
      <c r="B104" s="3" t="s">
        <v>25</v>
      </c>
      <c r="C104" s="7">
        <v>21025</v>
      </c>
    </row>
    <row r="105" spans="1:3" x14ac:dyDescent="0.35">
      <c r="A105" s="3" t="s">
        <v>19</v>
      </c>
      <c r="B105" s="3" t="s">
        <v>15</v>
      </c>
      <c r="C105" s="7">
        <v>29197</v>
      </c>
    </row>
    <row r="106" spans="1:3" x14ac:dyDescent="0.35">
      <c r="A106" s="3" t="s">
        <v>46</v>
      </c>
      <c r="B106" s="3" t="s">
        <v>38</v>
      </c>
      <c r="C106" s="7">
        <v>26500</v>
      </c>
    </row>
    <row r="107" spans="1:3" x14ac:dyDescent="0.35">
      <c r="A107" s="3" t="s">
        <v>46</v>
      </c>
      <c r="B107" s="3" t="s">
        <v>38</v>
      </c>
      <c r="C107" s="7">
        <v>26241</v>
      </c>
    </row>
    <row r="108" spans="1:3" x14ac:dyDescent="0.35">
      <c r="A108" s="3" t="s">
        <v>46</v>
      </c>
      <c r="B108" s="3" t="s">
        <v>30</v>
      </c>
      <c r="C108" s="7">
        <v>23610</v>
      </c>
    </row>
    <row r="109" spans="1:3" x14ac:dyDescent="0.35">
      <c r="A109" s="3" t="s">
        <v>19</v>
      </c>
      <c r="B109" s="3" t="s">
        <v>38</v>
      </c>
      <c r="C109" s="7">
        <v>24874</v>
      </c>
    </row>
    <row r="110" spans="1:3" x14ac:dyDescent="0.35">
      <c r="A110" s="3" t="s">
        <v>46</v>
      </c>
      <c r="B110" s="3" t="s">
        <v>38</v>
      </c>
      <c r="C110" s="7">
        <v>28554</v>
      </c>
    </row>
    <row r="111" spans="1:3" x14ac:dyDescent="0.35">
      <c r="A111" s="3" t="s">
        <v>13</v>
      </c>
      <c r="B111" s="3" t="s">
        <v>30</v>
      </c>
      <c r="C111" s="7">
        <v>9911</v>
      </c>
    </row>
    <row r="112" spans="1:3" x14ac:dyDescent="0.35">
      <c r="A112" s="3" t="s">
        <v>19</v>
      </c>
      <c r="B112" s="3" t="s">
        <v>25</v>
      </c>
      <c r="C112" s="7">
        <v>12377</v>
      </c>
    </row>
    <row r="113" spans="1:3" x14ac:dyDescent="0.35">
      <c r="A113" s="3" t="s">
        <v>13</v>
      </c>
      <c r="B113" s="3" t="s">
        <v>38</v>
      </c>
      <c r="C113" s="7">
        <v>20319</v>
      </c>
    </row>
    <row r="114" spans="1:3" x14ac:dyDescent="0.35">
      <c r="A114" s="3" t="s">
        <v>19</v>
      </c>
      <c r="B114" s="3" t="s">
        <v>30</v>
      </c>
      <c r="C114" s="7">
        <v>10929</v>
      </c>
    </row>
    <row r="115" spans="1:3" x14ac:dyDescent="0.35">
      <c r="A115" s="3" t="s">
        <v>46</v>
      </c>
      <c r="B115" s="3" t="s">
        <v>15</v>
      </c>
      <c r="C115" s="7">
        <v>9270</v>
      </c>
    </row>
    <row r="116" spans="1:3" x14ac:dyDescent="0.35">
      <c r="A116" s="3" t="s">
        <v>13</v>
      </c>
      <c r="B116" s="3" t="s">
        <v>25</v>
      </c>
      <c r="C116" s="7">
        <v>9972</v>
      </c>
    </row>
    <row r="117" spans="1:3" x14ac:dyDescent="0.35">
      <c r="A117" s="3" t="s">
        <v>19</v>
      </c>
      <c r="B117" s="3" t="s">
        <v>15</v>
      </c>
      <c r="C117" s="7">
        <v>10057</v>
      </c>
    </row>
    <row r="118" spans="1:3" x14ac:dyDescent="0.35">
      <c r="A118" s="3" t="s">
        <v>23</v>
      </c>
      <c r="B118" s="3" t="s">
        <v>15</v>
      </c>
      <c r="C118" s="7">
        <v>17933</v>
      </c>
    </row>
    <row r="119" spans="1:3" x14ac:dyDescent="0.35">
      <c r="A119" s="3" t="s">
        <v>46</v>
      </c>
      <c r="B119" s="3" t="s">
        <v>30</v>
      </c>
      <c r="C119" s="7">
        <v>16022</v>
      </c>
    </row>
    <row r="120" spans="1:3" x14ac:dyDescent="0.35">
      <c r="A120" s="3" t="s">
        <v>19</v>
      </c>
      <c r="B120" s="3" t="s">
        <v>38</v>
      </c>
      <c r="C120" s="7">
        <v>23022</v>
      </c>
    </row>
    <row r="121" spans="1:3" x14ac:dyDescent="0.35">
      <c r="A121" s="3" t="s">
        <v>23</v>
      </c>
      <c r="B121" s="3" t="s">
        <v>30</v>
      </c>
      <c r="C121" s="7">
        <v>12328</v>
      </c>
    </row>
    <row r="122" spans="1:3" x14ac:dyDescent="0.35">
      <c r="A122" s="3" t="s">
        <v>19</v>
      </c>
      <c r="B122" s="3" t="s">
        <v>30</v>
      </c>
      <c r="C122" s="7">
        <v>22584</v>
      </c>
    </row>
    <row r="123" spans="1:3" x14ac:dyDescent="0.35">
      <c r="A123" s="3" t="s">
        <v>23</v>
      </c>
      <c r="B123" s="3" t="s">
        <v>30</v>
      </c>
      <c r="C123" s="7">
        <v>13047</v>
      </c>
    </row>
    <row r="124" spans="1:3" x14ac:dyDescent="0.35">
      <c r="A124" s="3" t="s">
        <v>46</v>
      </c>
      <c r="B124" s="3" t="s">
        <v>30</v>
      </c>
      <c r="C124" s="7">
        <v>21360</v>
      </c>
    </row>
    <row r="125" spans="1:3" x14ac:dyDescent="0.35">
      <c r="A125" s="3" t="s">
        <v>13</v>
      </c>
      <c r="B125" s="3" t="s">
        <v>25</v>
      </c>
      <c r="C125" s="7">
        <v>10512</v>
      </c>
    </row>
    <row r="126" spans="1:3" x14ac:dyDescent="0.35">
      <c r="A126" s="3" t="s">
        <v>23</v>
      </c>
      <c r="B126" s="3" t="s">
        <v>38</v>
      </c>
      <c r="C126" s="7">
        <v>10921</v>
      </c>
    </row>
    <row r="127" spans="1:3" x14ac:dyDescent="0.35">
      <c r="A127" s="3" t="s">
        <v>19</v>
      </c>
      <c r="B127" s="3" t="s">
        <v>15</v>
      </c>
      <c r="C127" s="7">
        <v>16600</v>
      </c>
    </row>
    <row r="128" spans="1:3" x14ac:dyDescent="0.35">
      <c r="A128" s="3" t="s">
        <v>46</v>
      </c>
      <c r="B128" s="3" t="s">
        <v>15</v>
      </c>
      <c r="C128" s="7">
        <v>26526</v>
      </c>
    </row>
    <row r="129" spans="1:3" x14ac:dyDescent="0.35">
      <c r="A129" s="3" t="s">
        <v>23</v>
      </c>
      <c r="B129" s="3" t="s">
        <v>38</v>
      </c>
      <c r="C129" s="7">
        <v>18949</v>
      </c>
    </row>
    <row r="130" spans="1:3" x14ac:dyDescent="0.35">
      <c r="A130" s="3" t="s">
        <v>19</v>
      </c>
      <c r="B130" s="3" t="s">
        <v>15</v>
      </c>
      <c r="C130" s="7">
        <v>15217</v>
      </c>
    </row>
    <row r="131" spans="1:3" x14ac:dyDescent="0.35">
      <c r="A131" s="3" t="s">
        <v>19</v>
      </c>
      <c r="B131" s="3" t="s">
        <v>38</v>
      </c>
      <c r="C131" s="7">
        <v>11924</v>
      </c>
    </row>
    <row r="132" spans="1:3" x14ac:dyDescent="0.35">
      <c r="A132" s="3" t="s">
        <v>19</v>
      </c>
      <c r="B132" s="3" t="s">
        <v>15</v>
      </c>
      <c r="C132" s="7">
        <v>23051</v>
      </c>
    </row>
    <row r="133" spans="1:3" x14ac:dyDescent="0.35">
      <c r="A133" s="3" t="s">
        <v>23</v>
      </c>
      <c r="B133" s="3" t="s">
        <v>30</v>
      </c>
      <c r="C133" s="7">
        <v>8695</v>
      </c>
    </row>
    <row r="134" spans="1:3" x14ac:dyDescent="0.35">
      <c r="A134" s="3" t="s">
        <v>23</v>
      </c>
      <c r="B134" s="3" t="s">
        <v>15</v>
      </c>
      <c r="C134" s="7">
        <v>6501</v>
      </c>
    </row>
    <row r="135" spans="1:3" x14ac:dyDescent="0.35">
      <c r="A135" s="3" t="s">
        <v>23</v>
      </c>
      <c r="B135" s="3" t="s">
        <v>38</v>
      </c>
      <c r="C135" s="7">
        <v>9439</v>
      </c>
    </row>
    <row r="136" spans="1:3" x14ac:dyDescent="0.35">
      <c r="A136" s="3" t="s">
        <v>13</v>
      </c>
      <c r="B136" s="3" t="s">
        <v>38</v>
      </c>
      <c r="C136" s="7">
        <v>21343</v>
      </c>
    </row>
    <row r="137" spans="1:3" x14ac:dyDescent="0.35">
      <c r="A137" s="3" t="s">
        <v>23</v>
      </c>
      <c r="B137" s="3" t="s">
        <v>38</v>
      </c>
      <c r="C137" s="7">
        <v>15006</v>
      </c>
    </row>
    <row r="138" spans="1:3" x14ac:dyDescent="0.35">
      <c r="A138" s="3" t="s">
        <v>23</v>
      </c>
      <c r="B138" s="3" t="s">
        <v>38</v>
      </c>
      <c r="C138" s="7">
        <v>16494</v>
      </c>
    </row>
    <row r="139" spans="1:3" x14ac:dyDescent="0.35">
      <c r="A139" s="3" t="s">
        <v>23</v>
      </c>
      <c r="B139" s="3" t="s">
        <v>38</v>
      </c>
      <c r="C139" s="7">
        <v>26991</v>
      </c>
    </row>
    <row r="140" spans="1:3" x14ac:dyDescent="0.35">
      <c r="A140" s="3" t="s">
        <v>13</v>
      </c>
      <c r="B140" s="3" t="s">
        <v>25</v>
      </c>
      <c r="C140" s="7">
        <v>26866</v>
      </c>
    </row>
    <row r="141" spans="1:3" x14ac:dyDescent="0.35">
      <c r="A141" s="3" t="s">
        <v>23</v>
      </c>
      <c r="B141" s="3" t="s">
        <v>25</v>
      </c>
      <c r="C141" s="7">
        <v>17177</v>
      </c>
    </row>
    <row r="142" spans="1:3" x14ac:dyDescent="0.35">
      <c r="A142" s="3" t="s">
        <v>19</v>
      </c>
      <c r="B142" s="3" t="s">
        <v>15</v>
      </c>
      <c r="C142" s="7">
        <v>10054</v>
      </c>
    </row>
    <row r="143" spans="1:3" x14ac:dyDescent="0.35">
      <c r="A143" s="3" t="s">
        <v>23</v>
      </c>
      <c r="B143" s="3" t="s">
        <v>38</v>
      </c>
      <c r="C143" s="7">
        <v>8632</v>
      </c>
    </row>
    <row r="144" spans="1:3" x14ac:dyDescent="0.35">
      <c r="A144" s="3" t="s">
        <v>19</v>
      </c>
      <c r="B144" s="3" t="s">
        <v>15</v>
      </c>
      <c r="C144" s="7">
        <v>20033</v>
      </c>
    </row>
    <row r="145" spans="1:3" x14ac:dyDescent="0.35">
      <c r="A145" s="3" t="s">
        <v>19</v>
      </c>
      <c r="B145" s="3" t="s">
        <v>38</v>
      </c>
      <c r="C145" s="7">
        <v>13438</v>
      </c>
    </row>
    <row r="146" spans="1:3" x14ac:dyDescent="0.35">
      <c r="A146" s="3" t="s">
        <v>19</v>
      </c>
      <c r="B146" s="3" t="s">
        <v>38</v>
      </c>
      <c r="C146" s="7">
        <v>11859</v>
      </c>
    </row>
    <row r="147" spans="1:3" x14ac:dyDescent="0.35">
      <c r="A147" s="3" t="s">
        <v>13</v>
      </c>
      <c r="B147" s="3" t="s">
        <v>25</v>
      </c>
      <c r="C147" s="7">
        <v>22040</v>
      </c>
    </row>
    <row r="148" spans="1:3" x14ac:dyDescent="0.35">
      <c r="A148" s="3" t="s">
        <v>13</v>
      </c>
      <c r="B148" s="3" t="s">
        <v>25</v>
      </c>
      <c r="C148" s="7">
        <v>24824</v>
      </c>
    </row>
    <row r="149" spans="1:3" x14ac:dyDescent="0.35">
      <c r="A149" s="3" t="s">
        <v>13</v>
      </c>
      <c r="B149" s="3" t="s">
        <v>30</v>
      </c>
      <c r="C149" s="7">
        <v>23964</v>
      </c>
    </row>
    <row r="150" spans="1:3" x14ac:dyDescent="0.35">
      <c r="A150" s="3" t="s">
        <v>23</v>
      </c>
      <c r="B150" s="3" t="s">
        <v>25</v>
      </c>
      <c r="C150" s="7">
        <v>16314</v>
      </c>
    </row>
    <row r="151" spans="1:3" x14ac:dyDescent="0.35">
      <c r="A151" s="3" t="s">
        <v>19</v>
      </c>
      <c r="B151" s="3" t="s">
        <v>30</v>
      </c>
      <c r="C151" s="7">
        <v>18143</v>
      </c>
    </row>
    <row r="152" spans="1:3" x14ac:dyDescent="0.35">
      <c r="A152" s="3" t="s">
        <v>13</v>
      </c>
      <c r="B152" s="3" t="s">
        <v>30</v>
      </c>
      <c r="C152" s="7">
        <v>20358</v>
      </c>
    </row>
    <row r="153" spans="1:3" x14ac:dyDescent="0.35">
      <c r="A153" s="3" t="s">
        <v>13</v>
      </c>
      <c r="B153" s="3" t="s">
        <v>30</v>
      </c>
      <c r="C153" s="7">
        <v>15488</v>
      </c>
    </row>
    <row r="154" spans="1:3" x14ac:dyDescent="0.35">
      <c r="A154" s="3" t="s">
        <v>23</v>
      </c>
      <c r="B154" s="3" t="s">
        <v>30</v>
      </c>
      <c r="C154" s="7">
        <v>27772</v>
      </c>
    </row>
    <row r="155" spans="1:3" x14ac:dyDescent="0.35">
      <c r="A155" s="3" t="s">
        <v>13</v>
      </c>
      <c r="B155" s="3" t="s">
        <v>30</v>
      </c>
      <c r="C155" s="7">
        <v>11913</v>
      </c>
    </row>
    <row r="156" spans="1:3" x14ac:dyDescent="0.35">
      <c r="A156" s="3" t="s">
        <v>23</v>
      </c>
      <c r="B156" s="3" t="s">
        <v>15</v>
      </c>
      <c r="C156" s="7">
        <v>15695</v>
      </c>
    </row>
    <row r="157" spans="1:3" x14ac:dyDescent="0.35">
      <c r="A157" s="3" t="s">
        <v>46</v>
      </c>
      <c r="B157" s="3" t="s">
        <v>25</v>
      </c>
      <c r="C157" s="7">
        <v>16028</v>
      </c>
    </row>
    <row r="158" spans="1:3" x14ac:dyDescent="0.35">
      <c r="A158" s="3" t="s">
        <v>13</v>
      </c>
      <c r="B158" s="3" t="s">
        <v>30</v>
      </c>
      <c r="C158" s="7">
        <v>26300</v>
      </c>
    </row>
    <row r="159" spans="1:3" x14ac:dyDescent="0.35">
      <c r="A159" s="3" t="s">
        <v>46</v>
      </c>
      <c r="B159" s="3" t="s">
        <v>38</v>
      </c>
      <c r="C159" s="7">
        <v>17043</v>
      </c>
    </row>
    <row r="160" spans="1:3" x14ac:dyDescent="0.35">
      <c r="A160" s="3" t="s">
        <v>23</v>
      </c>
      <c r="B160" s="3" t="s">
        <v>25</v>
      </c>
      <c r="C160" s="7">
        <v>25062</v>
      </c>
    </row>
    <row r="161" spans="1:3" x14ac:dyDescent="0.35">
      <c r="A161" s="3" t="s">
        <v>19</v>
      </c>
      <c r="B161" s="3" t="s">
        <v>25</v>
      </c>
      <c r="C161" s="7">
        <v>25030</v>
      </c>
    </row>
    <row r="162" spans="1:3" x14ac:dyDescent="0.35">
      <c r="A162" s="3" t="s">
        <v>13</v>
      </c>
      <c r="B162" s="3" t="s">
        <v>30</v>
      </c>
      <c r="C162" s="7">
        <v>24907</v>
      </c>
    </row>
    <row r="163" spans="1:3" x14ac:dyDescent="0.35">
      <c r="A163" s="3" t="s">
        <v>23</v>
      </c>
      <c r="B163" s="3" t="s">
        <v>15</v>
      </c>
      <c r="C163" s="7">
        <v>8879</v>
      </c>
    </row>
    <row r="164" spans="1:3" x14ac:dyDescent="0.35">
      <c r="A164" s="3" t="s">
        <v>19</v>
      </c>
      <c r="B164" s="3" t="s">
        <v>30</v>
      </c>
      <c r="C164" s="7">
        <v>18106</v>
      </c>
    </row>
    <row r="165" spans="1:3" x14ac:dyDescent="0.35">
      <c r="A165" s="3" t="s">
        <v>19</v>
      </c>
      <c r="B165" s="3" t="s">
        <v>15</v>
      </c>
      <c r="C165" s="7">
        <v>20650</v>
      </c>
    </row>
    <row r="166" spans="1:3" x14ac:dyDescent="0.35">
      <c r="A166" s="3" t="s">
        <v>46</v>
      </c>
      <c r="B166" s="3" t="s">
        <v>38</v>
      </c>
      <c r="C166" s="7">
        <v>24079</v>
      </c>
    </row>
    <row r="167" spans="1:3" x14ac:dyDescent="0.35">
      <c r="A167" s="3" t="s">
        <v>23</v>
      </c>
      <c r="B167" s="3" t="s">
        <v>25</v>
      </c>
      <c r="C167" s="7">
        <v>26807</v>
      </c>
    </row>
    <row r="168" spans="1:3" x14ac:dyDescent="0.35">
      <c r="A168" s="3" t="s">
        <v>19</v>
      </c>
      <c r="B168" s="3" t="s">
        <v>38</v>
      </c>
      <c r="C168" s="7">
        <v>5466</v>
      </c>
    </row>
    <row r="169" spans="1:3" x14ac:dyDescent="0.35">
      <c r="A169" s="3" t="s">
        <v>13</v>
      </c>
      <c r="B169" s="3" t="s">
        <v>15</v>
      </c>
      <c r="C169" s="7">
        <v>22201</v>
      </c>
    </row>
    <row r="170" spans="1:3" x14ac:dyDescent="0.35">
      <c r="A170" s="3" t="s">
        <v>13</v>
      </c>
      <c r="B170" s="3" t="s">
        <v>15</v>
      </c>
      <c r="C170" s="7">
        <v>3807</v>
      </c>
    </row>
    <row r="171" spans="1:3" x14ac:dyDescent="0.35">
      <c r="A171" s="3" t="s">
        <v>46</v>
      </c>
      <c r="B171" s="3" t="s">
        <v>38</v>
      </c>
      <c r="C171" s="7">
        <v>18899</v>
      </c>
    </row>
    <row r="172" spans="1:3" x14ac:dyDescent="0.35">
      <c r="A172" s="3" t="s">
        <v>19</v>
      </c>
      <c r="B172" s="3" t="s">
        <v>15</v>
      </c>
      <c r="C172" s="7">
        <v>13253</v>
      </c>
    </row>
    <row r="173" spans="1:3" x14ac:dyDescent="0.35">
      <c r="A173" s="3" t="s">
        <v>23</v>
      </c>
      <c r="B173" s="3" t="s">
        <v>38</v>
      </c>
      <c r="C173" s="7">
        <v>12877</v>
      </c>
    </row>
    <row r="174" spans="1:3" x14ac:dyDescent="0.35">
      <c r="A174" s="3" t="s">
        <v>13</v>
      </c>
      <c r="B174" s="3" t="s">
        <v>25</v>
      </c>
      <c r="C174" s="7">
        <v>8656</v>
      </c>
    </row>
    <row r="175" spans="1:3" x14ac:dyDescent="0.35">
      <c r="A175" s="3" t="s">
        <v>19</v>
      </c>
      <c r="B175" s="3" t="s">
        <v>38</v>
      </c>
      <c r="C175" s="7">
        <v>15779</v>
      </c>
    </row>
    <row r="176" spans="1:3" x14ac:dyDescent="0.35">
      <c r="A176" s="3" t="s">
        <v>19</v>
      </c>
      <c r="B176" s="3" t="s">
        <v>25</v>
      </c>
      <c r="C176" s="7">
        <v>21455</v>
      </c>
    </row>
    <row r="177" spans="1:3" x14ac:dyDescent="0.35">
      <c r="A177" s="3" t="s">
        <v>46</v>
      </c>
      <c r="B177" s="3" t="s">
        <v>38</v>
      </c>
      <c r="C177" s="7">
        <v>21449</v>
      </c>
    </row>
    <row r="178" spans="1:3" x14ac:dyDescent="0.35">
      <c r="A178" s="3" t="s">
        <v>13</v>
      </c>
      <c r="B178" s="3" t="s">
        <v>15</v>
      </c>
      <c r="C178" s="7">
        <v>11751</v>
      </c>
    </row>
    <row r="179" spans="1:3" x14ac:dyDescent="0.35">
      <c r="A179" s="3" t="s">
        <v>13</v>
      </c>
      <c r="B179" s="3" t="s">
        <v>38</v>
      </c>
      <c r="C179" s="7">
        <v>9167</v>
      </c>
    </row>
    <row r="180" spans="1:3" x14ac:dyDescent="0.35">
      <c r="A180" s="3" t="s">
        <v>23</v>
      </c>
      <c r="B180" s="3" t="s">
        <v>15</v>
      </c>
      <c r="C180" s="7">
        <v>18942</v>
      </c>
    </row>
    <row r="181" spans="1:3" x14ac:dyDescent="0.35">
      <c r="A181" s="3" t="s">
        <v>13</v>
      </c>
      <c r="B181" s="3" t="s">
        <v>38</v>
      </c>
      <c r="C181" s="7">
        <v>17286</v>
      </c>
    </row>
    <row r="182" spans="1:3" x14ac:dyDescent="0.35">
      <c r="A182" s="3" t="s">
        <v>23</v>
      </c>
      <c r="B182" s="3" t="s">
        <v>38</v>
      </c>
      <c r="C182" s="7">
        <v>8748</v>
      </c>
    </row>
    <row r="183" spans="1:3" x14ac:dyDescent="0.35">
      <c r="A183" s="3" t="s">
        <v>13</v>
      </c>
      <c r="B183" s="3" t="s">
        <v>30</v>
      </c>
      <c r="C183" s="7">
        <v>10820</v>
      </c>
    </row>
    <row r="184" spans="1:3" x14ac:dyDescent="0.35">
      <c r="A184" s="3" t="s">
        <v>46</v>
      </c>
      <c r="B184" s="3" t="s">
        <v>15</v>
      </c>
      <c r="C184" s="7">
        <v>23046</v>
      </c>
    </row>
    <row r="185" spans="1:3" x14ac:dyDescent="0.35">
      <c r="A185" s="3" t="s">
        <v>13</v>
      </c>
      <c r="B185" s="3" t="s">
        <v>30</v>
      </c>
      <c r="C185" s="7">
        <v>21494</v>
      </c>
    </row>
    <row r="186" spans="1:3" x14ac:dyDescent="0.35">
      <c r="A186" s="3" t="s">
        <v>23</v>
      </c>
      <c r="B186" s="3" t="s">
        <v>15</v>
      </c>
      <c r="C186" s="7">
        <v>25075</v>
      </c>
    </row>
    <row r="187" spans="1:3" x14ac:dyDescent="0.35">
      <c r="A187" s="3" t="s">
        <v>23</v>
      </c>
      <c r="B187" s="3" t="s">
        <v>30</v>
      </c>
      <c r="C187" s="7">
        <v>26191</v>
      </c>
    </row>
    <row r="188" spans="1:3" x14ac:dyDescent="0.35">
      <c r="A188" s="3" t="s">
        <v>46</v>
      </c>
      <c r="B188" s="3" t="s">
        <v>25</v>
      </c>
      <c r="C188" s="7">
        <v>9929</v>
      </c>
    </row>
    <row r="189" spans="1:3" x14ac:dyDescent="0.35">
      <c r="A189" s="3" t="s">
        <v>13</v>
      </c>
      <c r="B189" s="3" t="s">
        <v>38</v>
      </c>
      <c r="C189" s="7">
        <v>6654</v>
      </c>
    </row>
    <row r="190" spans="1:3" x14ac:dyDescent="0.35">
      <c r="A190" s="3" t="s">
        <v>13</v>
      </c>
      <c r="B190" s="3" t="s">
        <v>15</v>
      </c>
      <c r="C190" s="7">
        <v>14322</v>
      </c>
    </row>
    <row r="191" spans="1:3" x14ac:dyDescent="0.35">
      <c r="A191" s="3" t="s">
        <v>46</v>
      </c>
      <c r="B191" s="3" t="s">
        <v>15</v>
      </c>
      <c r="C191" s="7">
        <v>25459</v>
      </c>
    </row>
    <row r="192" spans="1:3" x14ac:dyDescent="0.35">
      <c r="A192" s="3" t="s">
        <v>13</v>
      </c>
      <c r="B192" s="3" t="s">
        <v>38</v>
      </c>
      <c r="C192" s="7">
        <v>11940</v>
      </c>
    </row>
    <row r="193" spans="1:3" x14ac:dyDescent="0.35">
      <c r="A193" s="3" t="s">
        <v>13</v>
      </c>
      <c r="B193" s="3" t="s">
        <v>15</v>
      </c>
      <c r="C193" s="7">
        <v>12347</v>
      </c>
    </row>
    <row r="194" spans="1:3" x14ac:dyDescent="0.35">
      <c r="A194" s="3" t="s">
        <v>23</v>
      </c>
      <c r="B194" s="3" t="s">
        <v>15</v>
      </c>
      <c r="C194" s="7">
        <v>6083</v>
      </c>
    </row>
    <row r="195" spans="1:3" x14ac:dyDescent="0.35">
      <c r="A195" s="3" t="s">
        <v>13</v>
      </c>
      <c r="B195" s="3" t="s">
        <v>30</v>
      </c>
      <c r="C195" s="7">
        <v>9034</v>
      </c>
    </row>
    <row r="196" spans="1:3" x14ac:dyDescent="0.35">
      <c r="A196" s="3" t="s">
        <v>13</v>
      </c>
      <c r="B196" s="3" t="s">
        <v>15</v>
      </c>
      <c r="C196" s="7">
        <v>17282</v>
      </c>
    </row>
    <row r="197" spans="1:3" x14ac:dyDescent="0.35">
      <c r="A197" s="3" t="s">
        <v>46</v>
      </c>
      <c r="B197" s="3" t="s">
        <v>25</v>
      </c>
      <c r="C197" s="7">
        <v>12636</v>
      </c>
    </row>
    <row r="198" spans="1:3" x14ac:dyDescent="0.35">
      <c r="A198" s="3" t="s">
        <v>46</v>
      </c>
      <c r="B198" s="3" t="s">
        <v>25</v>
      </c>
      <c r="C198" s="7">
        <v>10722</v>
      </c>
    </row>
    <row r="199" spans="1:3" x14ac:dyDescent="0.35">
      <c r="A199" s="3" t="s">
        <v>19</v>
      </c>
      <c r="B199" s="3" t="s">
        <v>38</v>
      </c>
      <c r="C199" s="7">
        <v>18186</v>
      </c>
    </row>
    <row r="200" spans="1:3" x14ac:dyDescent="0.35">
      <c r="A200" s="3" t="s">
        <v>23</v>
      </c>
      <c r="B200" s="3" t="s">
        <v>15</v>
      </c>
      <c r="C200" s="7">
        <v>16991</v>
      </c>
    </row>
    <row r="201" spans="1:3" x14ac:dyDescent="0.35">
      <c r="A201" s="3" t="s">
        <v>13</v>
      </c>
      <c r="B201" s="3" t="s">
        <v>38</v>
      </c>
      <c r="C201" s="7">
        <v>7659</v>
      </c>
    </row>
    <row r="202" spans="1:3" x14ac:dyDescent="0.35">
      <c r="A202" s="3" t="s">
        <v>13</v>
      </c>
      <c r="B202" s="3" t="s">
        <v>25</v>
      </c>
      <c r="C202" s="7">
        <v>23335</v>
      </c>
    </row>
    <row r="203" spans="1:3" x14ac:dyDescent="0.35">
      <c r="A203" s="3" t="s">
        <v>19</v>
      </c>
      <c r="B203" s="3" t="s">
        <v>15</v>
      </c>
      <c r="C203" s="7">
        <v>22408</v>
      </c>
    </row>
    <row r="204" spans="1:3" x14ac:dyDescent="0.35">
      <c r="A204" s="3" t="s">
        <v>13</v>
      </c>
      <c r="B204" s="3" t="s">
        <v>15</v>
      </c>
      <c r="C204" s="7">
        <v>10991</v>
      </c>
    </row>
    <row r="205" spans="1:3" x14ac:dyDescent="0.35">
      <c r="A205" s="3" t="s">
        <v>23</v>
      </c>
      <c r="B205" s="3" t="s">
        <v>38</v>
      </c>
      <c r="C205" s="7">
        <v>20857</v>
      </c>
    </row>
    <row r="206" spans="1:3" x14ac:dyDescent="0.35">
      <c r="A206" s="3" t="s">
        <v>19</v>
      </c>
      <c r="B206" s="3" t="s">
        <v>25</v>
      </c>
      <c r="C206" s="7">
        <v>20163</v>
      </c>
    </row>
    <row r="207" spans="1:3" x14ac:dyDescent="0.35">
      <c r="A207" s="3" t="s">
        <v>23</v>
      </c>
      <c r="B207" s="3" t="s">
        <v>15</v>
      </c>
      <c r="C207" s="7">
        <v>8424</v>
      </c>
    </row>
    <row r="208" spans="1:3" x14ac:dyDescent="0.35">
      <c r="A208" s="3" t="s">
        <v>19</v>
      </c>
      <c r="B208" s="3" t="s">
        <v>38</v>
      </c>
      <c r="C208" s="7">
        <v>11743</v>
      </c>
    </row>
    <row r="209" spans="1:3" x14ac:dyDescent="0.35">
      <c r="A209" s="3" t="s">
        <v>19</v>
      </c>
      <c r="B209" s="3" t="s">
        <v>25</v>
      </c>
      <c r="C209" s="7">
        <v>9551</v>
      </c>
    </row>
    <row r="210" spans="1:3" x14ac:dyDescent="0.35">
      <c r="A210" s="3" t="s">
        <v>46</v>
      </c>
      <c r="B210" s="3" t="s">
        <v>38</v>
      </c>
      <c r="C210" s="7">
        <v>15343</v>
      </c>
    </row>
    <row r="211" spans="1:3" x14ac:dyDescent="0.35">
      <c r="A211" s="3" t="s">
        <v>23</v>
      </c>
      <c r="B211" s="3" t="s">
        <v>30</v>
      </c>
      <c r="C211" s="7">
        <v>11465</v>
      </c>
    </row>
    <row r="212" spans="1:3" x14ac:dyDescent="0.35">
      <c r="A212" s="3" t="s">
        <v>13</v>
      </c>
      <c r="B212" s="3" t="s">
        <v>15</v>
      </c>
      <c r="C212" s="7">
        <v>13868</v>
      </c>
    </row>
    <row r="213" spans="1:3" x14ac:dyDescent="0.35">
      <c r="A213" s="3" t="s">
        <v>13</v>
      </c>
      <c r="B213" s="3" t="s">
        <v>30</v>
      </c>
      <c r="C213" s="7">
        <v>13356</v>
      </c>
    </row>
    <row r="214" spans="1:3" x14ac:dyDescent="0.35">
      <c r="A214" s="3" t="s">
        <v>23</v>
      </c>
      <c r="B214" s="3" t="s">
        <v>25</v>
      </c>
      <c r="C214" s="7">
        <v>13707</v>
      </c>
    </row>
    <row r="215" spans="1:3" x14ac:dyDescent="0.35">
      <c r="A215" s="3" t="s">
        <v>13</v>
      </c>
      <c r="B215" s="3" t="s">
        <v>30</v>
      </c>
      <c r="C215" s="7">
        <v>22876</v>
      </c>
    </row>
    <row r="216" spans="1:3" x14ac:dyDescent="0.35">
      <c r="A216" s="3" t="s">
        <v>13</v>
      </c>
      <c r="B216" s="3" t="s">
        <v>30</v>
      </c>
      <c r="C216" s="7">
        <v>12815</v>
      </c>
    </row>
    <row r="217" spans="1:3" x14ac:dyDescent="0.35">
      <c r="A217" s="3" t="s">
        <v>23</v>
      </c>
      <c r="B217" s="3" t="s">
        <v>25</v>
      </c>
      <c r="C217" s="7">
        <v>27481</v>
      </c>
    </row>
    <row r="218" spans="1:3" x14ac:dyDescent="0.35">
      <c r="A218" s="3" t="s">
        <v>19</v>
      </c>
      <c r="B218" s="3" t="s">
        <v>38</v>
      </c>
      <c r="C218" s="7">
        <v>19531</v>
      </c>
    </row>
    <row r="219" spans="1:3" x14ac:dyDescent="0.35">
      <c r="A219" s="3" t="s">
        <v>23</v>
      </c>
      <c r="B219" s="3" t="s">
        <v>30</v>
      </c>
      <c r="C219" s="7">
        <v>18518</v>
      </c>
    </row>
    <row r="220" spans="1:3" x14ac:dyDescent="0.35">
      <c r="A220" s="3" t="s">
        <v>19</v>
      </c>
      <c r="B220" s="3" t="s">
        <v>38</v>
      </c>
      <c r="C220" s="7">
        <v>11942</v>
      </c>
    </row>
    <row r="221" spans="1:3" x14ac:dyDescent="0.35">
      <c r="A221" s="3" t="s">
        <v>13</v>
      </c>
      <c r="B221" s="3" t="s">
        <v>30</v>
      </c>
      <c r="C221" s="7">
        <v>18368</v>
      </c>
    </row>
    <row r="222" spans="1:3" x14ac:dyDescent="0.35">
      <c r="A222" s="3" t="s">
        <v>13</v>
      </c>
      <c r="B222" s="3" t="s">
        <v>38</v>
      </c>
      <c r="C222" s="7">
        <v>21894</v>
      </c>
    </row>
    <row r="223" spans="1:3" x14ac:dyDescent="0.35">
      <c r="A223" s="3" t="s">
        <v>13</v>
      </c>
      <c r="B223" s="3" t="s">
        <v>25</v>
      </c>
      <c r="C223" s="7">
        <v>10004</v>
      </c>
    </row>
    <row r="224" spans="1:3" x14ac:dyDescent="0.35">
      <c r="A224" s="3" t="s">
        <v>46</v>
      </c>
      <c r="B224" s="3" t="s">
        <v>30</v>
      </c>
      <c r="C224" s="7">
        <v>20488</v>
      </c>
    </row>
    <row r="225" spans="1:3" x14ac:dyDescent="0.35">
      <c r="A225" s="3" t="s">
        <v>19</v>
      </c>
      <c r="B225" s="3" t="s">
        <v>25</v>
      </c>
      <c r="C225" s="7">
        <v>7915</v>
      </c>
    </row>
    <row r="226" spans="1:3" x14ac:dyDescent="0.35">
      <c r="A226" s="3" t="s">
        <v>46</v>
      </c>
      <c r="B226" s="3" t="s">
        <v>30</v>
      </c>
      <c r="C226" s="7">
        <v>23782</v>
      </c>
    </row>
    <row r="227" spans="1:3" x14ac:dyDescent="0.35">
      <c r="A227" s="3" t="s">
        <v>46</v>
      </c>
      <c r="B227" s="3" t="s">
        <v>25</v>
      </c>
      <c r="C227" s="7">
        <v>26894</v>
      </c>
    </row>
    <row r="228" spans="1:3" x14ac:dyDescent="0.35">
      <c r="A228" s="3" t="s">
        <v>23</v>
      </c>
      <c r="B228" s="3" t="s">
        <v>25</v>
      </c>
      <c r="C228" s="7">
        <v>21015</v>
      </c>
    </row>
    <row r="229" spans="1:3" x14ac:dyDescent="0.35">
      <c r="A229" s="3" t="s">
        <v>46</v>
      </c>
      <c r="B229" s="3" t="s">
        <v>30</v>
      </c>
      <c r="C229" s="7">
        <v>7199</v>
      </c>
    </row>
    <row r="230" spans="1:3" x14ac:dyDescent="0.35">
      <c r="A230" s="3" t="s">
        <v>23</v>
      </c>
      <c r="B230" s="3" t="s">
        <v>30</v>
      </c>
      <c r="C230" s="7">
        <v>13307</v>
      </c>
    </row>
    <row r="231" spans="1:3" x14ac:dyDescent="0.35">
      <c r="A231" s="3" t="s">
        <v>23</v>
      </c>
      <c r="B231" s="3" t="s">
        <v>30</v>
      </c>
      <c r="C231" s="7">
        <v>15432</v>
      </c>
    </row>
    <row r="232" spans="1:3" x14ac:dyDescent="0.35">
      <c r="A232" s="3" t="s">
        <v>46</v>
      </c>
      <c r="B232" s="3" t="s">
        <v>15</v>
      </c>
      <c r="C232" s="7">
        <v>21856</v>
      </c>
    </row>
    <row r="233" spans="1:3" x14ac:dyDescent="0.35">
      <c r="A233" s="3" t="s">
        <v>19</v>
      </c>
      <c r="B233" s="3" t="s">
        <v>38</v>
      </c>
      <c r="C233" s="7">
        <v>19986</v>
      </c>
    </row>
    <row r="234" spans="1:3" x14ac:dyDescent="0.35">
      <c r="A234" s="3" t="s">
        <v>19</v>
      </c>
      <c r="B234" s="3" t="s">
        <v>15</v>
      </c>
      <c r="C234" s="7">
        <v>9404</v>
      </c>
    </row>
    <row r="235" spans="1:3" x14ac:dyDescent="0.35">
      <c r="A235" s="3" t="s">
        <v>19</v>
      </c>
      <c r="B235" s="3" t="s">
        <v>15</v>
      </c>
      <c r="C235" s="7">
        <v>24296</v>
      </c>
    </row>
    <row r="236" spans="1:3" x14ac:dyDescent="0.35">
      <c r="A236" s="3" t="s">
        <v>19</v>
      </c>
      <c r="B236" s="3" t="s">
        <v>25</v>
      </c>
      <c r="C236" s="7">
        <v>23712</v>
      </c>
    </row>
    <row r="237" spans="1:3" x14ac:dyDescent="0.35">
      <c r="A237" s="3" t="s">
        <v>19</v>
      </c>
      <c r="B237" s="3" t="s">
        <v>30</v>
      </c>
      <c r="C237" s="7">
        <v>5584</v>
      </c>
    </row>
    <row r="238" spans="1:3" x14ac:dyDescent="0.35">
      <c r="A238" s="3" t="s">
        <v>46</v>
      </c>
      <c r="B238" s="3" t="s">
        <v>38</v>
      </c>
      <c r="C238" s="7">
        <v>9886</v>
      </c>
    </row>
    <row r="239" spans="1:3" x14ac:dyDescent="0.35">
      <c r="A239" s="3" t="s">
        <v>46</v>
      </c>
      <c r="B239" s="3" t="s">
        <v>25</v>
      </c>
      <c r="C239" s="7">
        <v>12061</v>
      </c>
    </row>
    <row r="240" spans="1:3" x14ac:dyDescent="0.35">
      <c r="A240" s="3" t="s">
        <v>13</v>
      </c>
      <c r="B240" s="3" t="s">
        <v>15</v>
      </c>
      <c r="C240" s="7">
        <v>16785</v>
      </c>
    </row>
    <row r="241" spans="1:3" x14ac:dyDescent="0.35">
      <c r="A241" s="3" t="s">
        <v>19</v>
      </c>
      <c r="B241" s="3" t="s">
        <v>30</v>
      </c>
      <c r="C241" s="7">
        <v>26116</v>
      </c>
    </row>
    <row r="242" spans="1:3" x14ac:dyDescent="0.35">
      <c r="A242" s="3" t="s">
        <v>46</v>
      </c>
      <c r="B242" s="3" t="s">
        <v>25</v>
      </c>
      <c r="C242" s="7">
        <v>14801</v>
      </c>
    </row>
    <row r="243" spans="1:3" x14ac:dyDescent="0.35">
      <c r="A243" s="3" t="s">
        <v>13</v>
      </c>
      <c r="B243" s="3" t="s">
        <v>30</v>
      </c>
      <c r="C243" s="7">
        <v>19065</v>
      </c>
    </row>
    <row r="244" spans="1:3" x14ac:dyDescent="0.35">
      <c r="A244" s="3" t="s">
        <v>19</v>
      </c>
      <c r="B244" s="3" t="s">
        <v>25</v>
      </c>
      <c r="C244" s="7">
        <v>24070</v>
      </c>
    </row>
    <row r="245" spans="1:3" x14ac:dyDescent="0.35">
      <c r="A245" s="3" t="s">
        <v>23</v>
      </c>
      <c r="B245" s="3" t="s">
        <v>30</v>
      </c>
      <c r="C245" s="7">
        <v>16392</v>
      </c>
    </row>
    <row r="246" spans="1:3" x14ac:dyDescent="0.35">
      <c r="A246" s="3" t="s">
        <v>13</v>
      </c>
      <c r="B246" s="3" t="s">
        <v>15</v>
      </c>
      <c r="C246" s="7">
        <v>8512</v>
      </c>
    </row>
    <row r="247" spans="1:3" x14ac:dyDescent="0.35">
      <c r="A247" s="3" t="s">
        <v>46</v>
      </c>
      <c r="B247" s="3" t="s">
        <v>38</v>
      </c>
      <c r="C247" s="7">
        <v>23071</v>
      </c>
    </row>
    <row r="248" spans="1:3" x14ac:dyDescent="0.35">
      <c r="A248" s="3" t="s">
        <v>23</v>
      </c>
      <c r="B248" s="3" t="s">
        <v>15</v>
      </c>
      <c r="C248" s="7">
        <v>8365</v>
      </c>
    </row>
    <row r="249" spans="1:3" x14ac:dyDescent="0.35">
      <c r="A249" s="3" t="s">
        <v>23</v>
      </c>
      <c r="B249" s="3" t="s">
        <v>38</v>
      </c>
      <c r="C249" s="7">
        <v>16113</v>
      </c>
    </row>
    <row r="250" spans="1:3" x14ac:dyDescent="0.35">
      <c r="A250" s="3" t="s">
        <v>23</v>
      </c>
      <c r="B250" s="3" t="s">
        <v>30</v>
      </c>
      <c r="C250" s="7">
        <v>13207</v>
      </c>
    </row>
    <row r="251" spans="1:3" x14ac:dyDescent="0.35">
      <c r="A251" s="3" t="s">
        <v>13</v>
      </c>
      <c r="B251" s="3" t="s">
        <v>25</v>
      </c>
      <c r="C251" s="7">
        <v>10349</v>
      </c>
    </row>
    <row r="252" spans="1:3" x14ac:dyDescent="0.35">
      <c r="A252" s="3" t="s">
        <v>46</v>
      </c>
      <c r="B252" s="3" t="s">
        <v>15</v>
      </c>
      <c r="C252" s="7">
        <v>20035</v>
      </c>
    </row>
    <row r="253" spans="1:3" x14ac:dyDescent="0.35">
      <c r="A253" s="3" t="s">
        <v>23</v>
      </c>
      <c r="B253" s="3" t="s">
        <v>38</v>
      </c>
      <c r="C253" s="7">
        <v>13118</v>
      </c>
    </row>
    <row r="254" spans="1:3" x14ac:dyDescent="0.35">
      <c r="A254" s="3" t="s">
        <v>19</v>
      </c>
      <c r="B254" s="3" t="s">
        <v>15</v>
      </c>
      <c r="C254" s="7">
        <v>18755</v>
      </c>
    </row>
    <row r="255" spans="1:3" x14ac:dyDescent="0.35">
      <c r="A255" s="3" t="s">
        <v>23</v>
      </c>
      <c r="B255" s="3" t="s">
        <v>38</v>
      </c>
      <c r="C255" s="7">
        <v>26290</v>
      </c>
    </row>
    <row r="256" spans="1:3" x14ac:dyDescent="0.35">
      <c r="A256" s="3" t="s">
        <v>23</v>
      </c>
      <c r="B256" s="3" t="s">
        <v>15</v>
      </c>
      <c r="C256" s="7">
        <v>13871</v>
      </c>
    </row>
    <row r="257" spans="1:3" x14ac:dyDescent="0.35">
      <c r="A257" s="3" t="s">
        <v>13</v>
      </c>
      <c r="B257" s="3" t="s">
        <v>38</v>
      </c>
      <c r="C257" s="7">
        <v>4626</v>
      </c>
    </row>
    <row r="258" spans="1:3" x14ac:dyDescent="0.35">
      <c r="A258" s="3" t="s">
        <v>13</v>
      </c>
      <c r="B258" s="3" t="s">
        <v>38</v>
      </c>
      <c r="C258" s="7">
        <v>17905</v>
      </c>
    </row>
    <row r="259" spans="1:3" x14ac:dyDescent="0.35">
      <c r="A259" s="3" t="s">
        <v>46</v>
      </c>
      <c r="B259" s="3" t="s">
        <v>30</v>
      </c>
      <c r="C259" s="7">
        <v>24185</v>
      </c>
    </row>
    <row r="260" spans="1:3" x14ac:dyDescent="0.35">
      <c r="A260" s="3" t="s">
        <v>19</v>
      </c>
      <c r="B260" s="3" t="s">
        <v>38</v>
      </c>
      <c r="C260" s="7">
        <v>21030</v>
      </c>
    </row>
    <row r="261" spans="1:3" x14ac:dyDescent="0.35">
      <c r="A261" s="3" t="s">
        <v>13</v>
      </c>
      <c r="B261" s="3" t="s">
        <v>30</v>
      </c>
      <c r="C261" s="7">
        <v>19040</v>
      </c>
    </row>
    <row r="262" spans="1:3" x14ac:dyDescent="0.35">
      <c r="A262" s="3" t="s">
        <v>23</v>
      </c>
      <c r="B262" s="3" t="s">
        <v>38</v>
      </c>
      <c r="C262" s="7">
        <v>10571</v>
      </c>
    </row>
    <row r="263" spans="1:3" x14ac:dyDescent="0.35">
      <c r="A263" s="3" t="s">
        <v>46</v>
      </c>
      <c r="B263" s="3" t="s">
        <v>25</v>
      </c>
      <c r="C263" s="7">
        <v>25461</v>
      </c>
    </row>
    <row r="264" spans="1:3" x14ac:dyDescent="0.35">
      <c r="A264" s="3" t="s">
        <v>23</v>
      </c>
      <c r="B264" s="3" t="s">
        <v>25</v>
      </c>
      <c r="C264" s="7">
        <v>7009</v>
      </c>
    </row>
    <row r="265" spans="1:3" x14ac:dyDescent="0.35">
      <c r="A265" s="3" t="s">
        <v>23</v>
      </c>
      <c r="B265" s="3" t="s">
        <v>25</v>
      </c>
      <c r="C265" s="7">
        <v>15638</v>
      </c>
    </row>
    <row r="266" spans="1:3" x14ac:dyDescent="0.35">
      <c r="A266" s="3" t="s">
        <v>13</v>
      </c>
      <c r="B266" s="3" t="s">
        <v>38</v>
      </c>
      <c r="C266" s="7">
        <v>18707</v>
      </c>
    </row>
    <row r="267" spans="1:3" x14ac:dyDescent="0.35">
      <c r="A267" s="3" t="s">
        <v>46</v>
      </c>
      <c r="B267" s="3" t="s">
        <v>30</v>
      </c>
      <c r="C267" s="7">
        <v>21011</v>
      </c>
    </row>
    <row r="268" spans="1:3" x14ac:dyDescent="0.35">
      <c r="A268" s="3" t="s">
        <v>19</v>
      </c>
      <c r="B268" s="3" t="s">
        <v>30</v>
      </c>
      <c r="C268" s="7">
        <v>19499</v>
      </c>
    </row>
    <row r="269" spans="1:3" x14ac:dyDescent="0.35">
      <c r="A269" s="3" t="s">
        <v>19</v>
      </c>
      <c r="B269" s="3" t="s">
        <v>38</v>
      </c>
      <c r="C269" s="7">
        <v>27020</v>
      </c>
    </row>
    <row r="270" spans="1:3" x14ac:dyDescent="0.35">
      <c r="A270" s="3" t="s">
        <v>13</v>
      </c>
      <c r="B270" s="3" t="s">
        <v>25</v>
      </c>
      <c r="C270" s="7">
        <v>12250</v>
      </c>
    </row>
    <row r="271" spans="1:3" x14ac:dyDescent="0.35">
      <c r="A271" s="3" t="s">
        <v>13</v>
      </c>
      <c r="B271" s="3" t="s">
        <v>25</v>
      </c>
      <c r="C271" s="7">
        <v>13153</v>
      </c>
    </row>
    <row r="272" spans="1:3" x14ac:dyDescent="0.35">
      <c r="A272" s="3" t="s">
        <v>46</v>
      </c>
      <c r="B272" s="3" t="s">
        <v>30</v>
      </c>
      <c r="C272" s="7">
        <v>22600</v>
      </c>
    </row>
    <row r="273" spans="1:3" x14ac:dyDescent="0.35">
      <c r="A273" s="3" t="s">
        <v>19</v>
      </c>
      <c r="B273" s="3" t="s">
        <v>25</v>
      </c>
      <c r="C273" s="7">
        <v>17364</v>
      </c>
    </row>
    <row r="274" spans="1:3" x14ac:dyDescent="0.35">
      <c r="A274" s="3" t="s">
        <v>19</v>
      </c>
      <c r="B274" s="3" t="s">
        <v>15</v>
      </c>
      <c r="C274" s="7">
        <v>8090</v>
      </c>
    </row>
    <row r="275" spans="1:3" x14ac:dyDescent="0.35">
      <c r="A275" s="3" t="s">
        <v>19</v>
      </c>
      <c r="B275" s="3" t="s">
        <v>30</v>
      </c>
      <c r="C275" s="7">
        <v>10502</v>
      </c>
    </row>
    <row r="276" spans="1:3" x14ac:dyDescent="0.35">
      <c r="A276" s="3" t="s">
        <v>23</v>
      </c>
      <c r="B276" s="3" t="s">
        <v>25</v>
      </c>
      <c r="C276" s="7">
        <v>7111</v>
      </c>
    </row>
    <row r="277" spans="1:3" x14ac:dyDescent="0.35">
      <c r="A277" s="3" t="s">
        <v>19</v>
      </c>
      <c r="B277" s="3" t="s">
        <v>30</v>
      </c>
      <c r="C277" s="7">
        <v>10975</v>
      </c>
    </row>
    <row r="278" spans="1:3" x14ac:dyDescent="0.35">
      <c r="A278" s="3" t="s">
        <v>23</v>
      </c>
      <c r="B278" s="3" t="s">
        <v>15</v>
      </c>
      <c r="C278" s="7">
        <v>17657</v>
      </c>
    </row>
    <row r="279" spans="1:3" x14ac:dyDescent="0.35">
      <c r="A279" s="3" t="s">
        <v>46</v>
      </c>
      <c r="B279" s="3" t="s">
        <v>30</v>
      </c>
      <c r="C279" s="7">
        <v>16877</v>
      </c>
    </row>
    <row r="280" spans="1:3" x14ac:dyDescent="0.35">
      <c r="A280" s="3" t="s">
        <v>23</v>
      </c>
      <c r="B280" s="3" t="s">
        <v>30</v>
      </c>
      <c r="C280" s="7">
        <v>13931</v>
      </c>
    </row>
    <row r="281" spans="1:3" x14ac:dyDescent="0.35">
      <c r="A281" s="3" t="s">
        <v>46</v>
      </c>
      <c r="B281" s="3" t="s">
        <v>30</v>
      </c>
      <c r="C281" s="7">
        <v>6977</v>
      </c>
    </row>
    <row r="282" spans="1:3" x14ac:dyDescent="0.35">
      <c r="A282" s="3" t="s">
        <v>19</v>
      </c>
      <c r="B282" s="3" t="s">
        <v>30</v>
      </c>
      <c r="C282" s="7">
        <v>7823</v>
      </c>
    </row>
    <row r="283" spans="1:3" x14ac:dyDescent="0.35">
      <c r="A283" s="3" t="s">
        <v>19</v>
      </c>
      <c r="B283" s="3" t="s">
        <v>15</v>
      </c>
      <c r="C283" s="7">
        <v>25205</v>
      </c>
    </row>
    <row r="284" spans="1:3" x14ac:dyDescent="0.35">
      <c r="A284" s="3" t="s">
        <v>46</v>
      </c>
      <c r="B284" s="3" t="s">
        <v>38</v>
      </c>
      <c r="C284" s="7">
        <v>10634</v>
      </c>
    </row>
    <row r="285" spans="1:3" x14ac:dyDescent="0.35">
      <c r="A285" s="3" t="s">
        <v>13</v>
      </c>
      <c r="B285" s="3" t="s">
        <v>30</v>
      </c>
      <c r="C285" s="7">
        <v>23416</v>
      </c>
    </row>
    <row r="286" spans="1:3" x14ac:dyDescent="0.35">
      <c r="A286" s="3" t="s">
        <v>46</v>
      </c>
      <c r="B286" s="3" t="s">
        <v>30</v>
      </c>
      <c r="C286" s="7">
        <v>19842</v>
      </c>
    </row>
    <row r="287" spans="1:3" x14ac:dyDescent="0.35">
      <c r="A287" s="3" t="s">
        <v>13</v>
      </c>
      <c r="B287" s="3" t="s">
        <v>25</v>
      </c>
      <c r="C287" s="7">
        <v>25870</v>
      </c>
    </row>
    <row r="288" spans="1:3" x14ac:dyDescent="0.35">
      <c r="A288" s="3" t="s">
        <v>23</v>
      </c>
      <c r="B288" s="3" t="s">
        <v>30</v>
      </c>
      <c r="C288" s="7">
        <v>16507</v>
      </c>
    </row>
    <row r="289" spans="1:3" x14ac:dyDescent="0.35">
      <c r="A289" s="3" t="s">
        <v>23</v>
      </c>
      <c r="B289" s="3" t="s">
        <v>25</v>
      </c>
      <c r="C289" s="7">
        <v>5667</v>
      </c>
    </row>
    <row r="290" spans="1:3" x14ac:dyDescent="0.35">
      <c r="A290" s="3" t="s">
        <v>23</v>
      </c>
      <c r="B290" s="3" t="s">
        <v>38</v>
      </c>
      <c r="C290" s="7">
        <v>22156</v>
      </c>
    </row>
    <row r="291" spans="1:3" x14ac:dyDescent="0.35">
      <c r="A291" s="3" t="s">
        <v>19</v>
      </c>
      <c r="B291" s="3" t="s">
        <v>15</v>
      </c>
      <c r="C291" s="7">
        <v>27601</v>
      </c>
    </row>
    <row r="292" spans="1:3" x14ac:dyDescent="0.35">
      <c r="A292" s="3" t="s">
        <v>23</v>
      </c>
      <c r="B292" s="3" t="s">
        <v>15</v>
      </c>
      <c r="C292" s="7">
        <v>13128</v>
      </c>
    </row>
    <row r="293" spans="1:3" x14ac:dyDescent="0.35">
      <c r="A293" s="3" t="s">
        <v>13</v>
      </c>
      <c r="B293" s="3" t="s">
        <v>38</v>
      </c>
      <c r="C293" s="7">
        <v>5944</v>
      </c>
    </row>
    <row r="294" spans="1:3" x14ac:dyDescent="0.35">
      <c r="A294" s="3" t="s">
        <v>23</v>
      </c>
      <c r="B294" s="3" t="s">
        <v>15</v>
      </c>
      <c r="C294" s="7">
        <v>12473</v>
      </c>
    </row>
    <row r="295" spans="1:3" x14ac:dyDescent="0.35">
      <c r="A295" s="3" t="s">
        <v>46</v>
      </c>
      <c r="B295" s="3" t="s">
        <v>38</v>
      </c>
      <c r="C295" s="7">
        <v>23745</v>
      </c>
    </row>
    <row r="296" spans="1:3" x14ac:dyDescent="0.35">
      <c r="A296" s="3" t="s">
        <v>46</v>
      </c>
      <c r="B296" s="3" t="s">
        <v>38</v>
      </c>
      <c r="C296" s="7">
        <v>10468</v>
      </c>
    </row>
    <row r="297" spans="1:3" x14ac:dyDescent="0.35">
      <c r="A297" s="3" t="s">
        <v>19</v>
      </c>
      <c r="B297" s="3" t="s">
        <v>38</v>
      </c>
      <c r="C297" s="7">
        <v>7904</v>
      </c>
    </row>
    <row r="298" spans="1:3" x14ac:dyDescent="0.35">
      <c r="A298" s="3" t="s">
        <v>46</v>
      </c>
      <c r="B298" s="3" t="s">
        <v>15</v>
      </c>
      <c r="C298" s="7">
        <v>14265</v>
      </c>
    </row>
    <row r="299" spans="1:3" x14ac:dyDescent="0.35">
      <c r="A299" s="3" t="s">
        <v>13</v>
      </c>
      <c r="B299" s="3" t="s">
        <v>25</v>
      </c>
      <c r="C299" s="7">
        <v>5411</v>
      </c>
    </row>
    <row r="300" spans="1:3" x14ac:dyDescent="0.35">
      <c r="A300" s="3" t="s">
        <v>23</v>
      </c>
      <c r="B300" s="3" t="s">
        <v>38</v>
      </c>
      <c r="C300" s="7">
        <v>16149</v>
      </c>
    </row>
    <row r="301" spans="1:3" x14ac:dyDescent="0.35">
      <c r="A301" s="3" t="s">
        <v>19</v>
      </c>
      <c r="B301" s="3" t="s">
        <v>30</v>
      </c>
      <c r="C301" s="7">
        <v>23202</v>
      </c>
    </row>
  </sheetData>
  <conditionalFormatting sqref="B1:B301">
    <cfRule type="containsText" dxfId="13" priority="1" operator="containsText" text="Image">
      <formula>NOT(ISERROR(SEARCH("Image",B1)))</formula>
    </cfRule>
    <cfRule type="containsText" dxfId="12" priority="2" operator="containsText" text="Carousel">
      <formula>NOT(ISERROR(SEARCH("Carousel",B1)))</formula>
    </cfRule>
    <cfRule type="containsText" dxfId="11" priority="3" operator="containsText" text="$D$8">
      <formula>NOT(ISERROR(SEARCH("$D$8",B1)))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0C5586E-C056-41D5-AFE9-CC1EDA0EDBD6}">
            <xm:f>NOT(ISERROR(SEARCH($B$3,A1)))</xm:f>
            <xm:f>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id="{08C27E8A-FF11-4B52-B36E-EAA3DF2DE135}">
            <xm:f>NOT(ISERROR(SEARCH($B$11,A1)))</xm:f>
            <xm:f>$B$11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id="{0034B7E0-87CC-468E-9E15-2C7D2ED252B9}">
            <xm:f>NOT(ISERROR(SEARCH($B$4,A1)))</xm:f>
            <xm:f>$B$4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7" operator="containsText" id="{29B254D5-0D73-44A7-AC98-DF81E33EC037}">
            <xm:f>NOT(ISERROR(SEARCH($B$2,A1)))</xm:f>
            <xm:f>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A1:A301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2F65-3173-4650-8F48-6CBD22963B48}">
  <dimension ref="A1:G7"/>
  <sheetViews>
    <sheetView workbookViewId="0">
      <selection activeCell="D13" sqref="D13"/>
    </sheetView>
  </sheetViews>
  <sheetFormatPr defaultRowHeight="14.5" x14ac:dyDescent="0.35"/>
  <cols>
    <col min="1" max="1" width="26.54296875" bestFit="1" customWidth="1"/>
    <col min="2" max="2" width="17.36328125" bestFit="1" customWidth="1"/>
    <col min="3" max="3" width="14.90625" bestFit="1" customWidth="1"/>
    <col min="4" max="4" width="11.7265625" bestFit="1" customWidth="1"/>
    <col min="5" max="5" width="14.36328125" bestFit="1" customWidth="1"/>
    <col min="6" max="6" width="11.1796875" bestFit="1" customWidth="1"/>
    <col min="7" max="7" width="20.453125" bestFit="1" customWidth="1"/>
  </cols>
  <sheetData>
    <row r="1" spans="1:7" x14ac:dyDescent="0.35">
      <c r="A1" s="13" t="s">
        <v>559</v>
      </c>
      <c r="B1" t="s">
        <v>604</v>
      </c>
      <c r="C1" t="s">
        <v>570</v>
      </c>
      <c r="D1" t="s">
        <v>606</v>
      </c>
      <c r="E1" t="s">
        <v>598</v>
      </c>
      <c r="F1" t="s">
        <v>564</v>
      </c>
      <c r="G1" t="s">
        <v>605</v>
      </c>
    </row>
    <row r="2" spans="1:7" x14ac:dyDescent="0.35">
      <c r="A2" s="14" t="s">
        <v>21</v>
      </c>
      <c r="B2" s="15">
        <v>10331022</v>
      </c>
      <c r="C2" s="15">
        <v>1664.5507246376812</v>
      </c>
      <c r="D2" s="15">
        <v>114854</v>
      </c>
      <c r="E2" s="15">
        <v>13870.289855072464</v>
      </c>
      <c r="F2" s="15">
        <v>957050</v>
      </c>
      <c r="G2" s="15">
        <v>149724.95652173914</v>
      </c>
    </row>
    <row r="3" spans="1:7" x14ac:dyDescent="0.35">
      <c r="A3" s="14" t="s">
        <v>17</v>
      </c>
      <c r="B3" s="15">
        <v>9407749</v>
      </c>
      <c r="C3" s="15">
        <v>1547.463768115942</v>
      </c>
      <c r="D3" s="15">
        <v>106775</v>
      </c>
      <c r="E3" s="15">
        <v>12877.231884057972</v>
      </c>
      <c r="F3" s="15">
        <v>888529</v>
      </c>
      <c r="G3" s="15">
        <v>136344.18840579709</v>
      </c>
    </row>
    <row r="4" spans="1:7" x14ac:dyDescent="0.35">
      <c r="A4" s="14" t="s">
        <v>32</v>
      </c>
      <c r="B4" s="15">
        <v>8901334</v>
      </c>
      <c r="C4" s="15">
        <v>1636.3220338983051</v>
      </c>
      <c r="D4" s="15">
        <v>96543</v>
      </c>
      <c r="E4" s="15">
        <v>14295.440677966102</v>
      </c>
      <c r="F4" s="15">
        <v>843431</v>
      </c>
      <c r="G4" s="15">
        <v>150870.06779661018</v>
      </c>
    </row>
    <row r="5" spans="1:7" x14ac:dyDescent="0.35">
      <c r="A5" s="14" t="s">
        <v>55</v>
      </c>
      <c r="B5" s="15">
        <v>6698763</v>
      </c>
      <c r="C5" s="15">
        <v>1623.195652173913</v>
      </c>
      <c r="D5" s="15">
        <v>74667</v>
      </c>
      <c r="E5" s="15">
        <v>12738.478260869566</v>
      </c>
      <c r="F5" s="15">
        <v>585970</v>
      </c>
      <c r="G5" s="15">
        <v>145625.28260869565</v>
      </c>
    </row>
    <row r="6" spans="1:7" x14ac:dyDescent="0.35">
      <c r="A6" s="14" t="s">
        <v>27</v>
      </c>
      <c r="B6" s="15">
        <v>9222999</v>
      </c>
      <c r="C6" s="15">
        <v>1564.3157894736842</v>
      </c>
      <c r="D6" s="15">
        <v>89166</v>
      </c>
      <c r="E6" s="15">
        <v>13902.859649122807</v>
      </c>
      <c r="F6" s="15">
        <v>792463</v>
      </c>
      <c r="G6" s="15">
        <v>161807</v>
      </c>
    </row>
    <row r="7" spans="1:7" x14ac:dyDescent="0.35">
      <c r="A7" s="14" t="s">
        <v>560</v>
      </c>
      <c r="B7" s="15">
        <v>44561867</v>
      </c>
      <c r="C7" s="15">
        <v>1606.6833333333334</v>
      </c>
      <c r="D7" s="15">
        <v>482005</v>
      </c>
      <c r="E7" s="15">
        <v>13558.143333333333</v>
      </c>
      <c r="F7" s="15">
        <v>4067443</v>
      </c>
      <c r="G7" s="15">
        <v>148539.55666666667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5925-9F04-4B2F-A336-DF2E2BC7343C}">
  <dimension ref="A1:C6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25.7265625" bestFit="1" customWidth="1"/>
    <col min="3" max="3" width="28.90625" bestFit="1" customWidth="1"/>
  </cols>
  <sheetData>
    <row r="1" spans="1:3" x14ac:dyDescent="0.35">
      <c r="A1" s="13" t="s">
        <v>559</v>
      </c>
      <c r="B1" t="s">
        <v>593</v>
      </c>
      <c r="C1" t="s">
        <v>594</v>
      </c>
    </row>
    <row r="2" spans="1:3" x14ac:dyDescent="0.35">
      <c r="A2" s="14" t="s">
        <v>23</v>
      </c>
      <c r="B2" s="15">
        <v>15.559291798886182</v>
      </c>
      <c r="C2" s="15">
        <v>8.8929450454654297</v>
      </c>
    </row>
    <row r="3" spans="1:3" x14ac:dyDescent="0.35">
      <c r="A3" s="14" t="s">
        <v>19</v>
      </c>
      <c r="B3" s="15">
        <v>14.067998324800023</v>
      </c>
      <c r="C3" s="15">
        <v>9.9250122557823328</v>
      </c>
    </row>
    <row r="4" spans="1:3" x14ac:dyDescent="0.35">
      <c r="A4" s="14" t="s">
        <v>46</v>
      </c>
      <c r="B4" s="15">
        <v>17.480513118999934</v>
      </c>
      <c r="C4" s="15">
        <v>7.22494552697537</v>
      </c>
    </row>
    <row r="5" spans="1:3" x14ac:dyDescent="0.35">
      <c r="A5" s="14" t="s">
        <v>13</v>
      </c>
      <c r="B5" s="15">
        <v>17.599262914182141</v>
      </c>
      <c r="C5" s="15">
        <v>5.9447788606799445</v>
      </c>
    </row>
    <row r="6" spans="1:3" x14ac:dyDescent="0.35">
      <c r="A6" s="14" t="s">
        <v>560</v>
      </c>
      <c r="B6">
        <v>16.076503821978303</v>
      </c>
      <c r="C6" s="15">
        <v>8.1303695880216864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16DC-58F7-4A59-ABB5-239A62E6F440}">
  <dimension ref="A1:D7"/>
  <sheetViews>
    <sheetView workbookViewId="0">
      <selection activeCell="G8" sqref="G8"/>
    </sheetView>
  </sheetViews>
  <sheetFormatPr defaultRowHeight="14.5" x14ac:dyDescent="0.35"/>
  <sheetData>
    <row r="1" spans="1:4" x14ac:dyDescent="0.35">
      <c r="A1" t="s">
        <v>559</v>
      </c>
      <c r="B1" t="s">
        <v>562</v>
      </c>
      <c r="C1" t="s">
        <v>613</v>
      </c>
      <c r="D1" s="19" t="s">
        <v>610</v>
      </c>
    </row>
    <row r="2" spans="1:4" x14ac:dyDescent="0.35">
      <c r="A2" t="s">
        <v>21</v>
      </c>
      <c r="B2">
        <v>1051098</v>
      </c>
      <c r="C2">
        <v>75000</v>
      </c>
      <c r="D2" s="15">
        <f>B2/C2</f>
        <v>14.01464</v>
      </c>
    </row>
    <row r="3" spans="1:4" x14ac:dyDescent="0.35">
      <c r="A3" t="s">
        <v>17</v>
      </c>
      <c r="B3">
        <v>991433</v>
      </c>
      <c r="C3">
        <v>55000</v>
      </c>
      <c r="D3" s="15">
        <f t="shared" ref="D3:D6" si="0">B3/C3</f>
        <v>18.026054545454546</v>
      </c>
    </row>
    <row r="4" spans="1:4" x14ac:dyDescent="0.35">
      <c r="A4" t="s">
        <v>32</v>
      </c>
      <c r="B4">
        <v>926462</v>
      </c>
      <c r="C4">
        <v>85000</v>
      </c>
      <c r="D4" s="15">
        <f t="shared" si="0"/>
        <v>10.89955294117647</v>
      </c>
    </row>
    <row r="5" spans="1:4" x14ac:dyDescent="0.35">
      <c r="A5" t="s">
        <v>55</v>
      </c>
      <c r="B5">
        <v>652233</v>
      </c>
      <c r="C5">
        <v>60000</v>
      </c>
      <c r="D5" s="15">
        <f t="shared" si="0"/>
        <v>10.87055</v>
      </c>
    </row>
    <row r="6" spans="1:4" x14ac:dyDescent="0.35">
      <c r="A6" t="s">
        <v>27</v>
      </c>
      <c r="B6">
        <v>879891</v>
      </c>
      <c r="C6">
        <v>40000</v>
      </c>
      <c r="D6" s="15">
        <f t="shared" si="0"/>
        <v>21.997274999999998</v>
      </c>
    </row>
    <row r="7" spans="1:4" x14ac:dyDescent="0.35">
      <c r="C7" s="19" t="s">
        <v>614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1108-EC23-44E1-87FF-57796E38540E}">
  <dimension ref="A1:G54"/>
  <sheetViews>
    <sheetView topLeftCell="B1" workbookViewId="0">
      <selection activeCell="R5" sqref="R5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7.90625" bestFit="1" customWidth="1"/>
    <col min="4" max="4" width="6.90625" bestFit="1" customWidth="1"/>
    <col min="5" max="5" width="8.1796875" bestFit="1" customWidth="1"/>
    <col min="6" max="6" width="6.7265625" bestFit="1" customWidth="1"/>
    <col min="7" max="7" width="10.7265625" bestFit="1" customWidth="1"/>
  </cols>
  <sheetData>
    <row r="1" spans="1:7" x14ac:dyDescent="0.35">
      <c r="A1" s="13" t="s">
        <v>617</v>
      </c>
      <c r="B1" s="13" t="s">
        <v>563</v>
      </c>
    </row>
    <row r="2" spans="1:7" x14ac:dyDescent="0.35">
      <c r="A2" s="13" t="s">
        <v>559</v>
      </c>
      <c r="B2" t="s">
        <v>23</v>
      </c>
      <c r="C2" t="s">
        <v>19</v>
      </c>
      <c r="D2" t="s">
        <v>46</v>
      </c>
      <c r="E2" t="s">
        <v>13</v>
      </c>
      <c r="F2" t="s">
        <v>589</v>
      </c>
      <c r="G2" t="s">
        <v>560</v>
      </c>
    </row>
    <row r="3" spans="1:7" x14ac:dyDescent="0.35">
      <c r="A3" s="14" t="s">
        <v>188</v>
      </c>
      <c r="B3">
        <v>3777</v>
      </c>
      <c r="D3">
        <v>7432</v>
      </c>
      <c r="E3">
        <v>15994</v>
      </c>
      <c r="G3">
        <v>27203</v>
      </c>
    </row>
    <row r="4" spans="1:7" x14ac:dyDescent="0.35">
      <c r="A4" s="14" t="s">
        <v>201</v>
      </c>
      <c r="B4">
        <v>7215</v>
      </c>
      <c r="D4">
        <v>8369</v>
      </c>
      <c r="E4">
        <v>7478</v>
      </c>
      <c r="G4">
        <v>23062</v>
      </c>
    </row>
    <row r="5" spans="1:7" x14ac:dyDescent="0.35">
      <c r="A5" s="14" t="s">
        <v>126</v>
      </c>
      <c r="B5">
        <v>13130</v>
      </c>
      <c r="C5">
        <v>6728</v>
      </c>
      <c r="D5">
        <v>6073</v>
      </c>
      <c r="G5">
        <v>25931</v>
      </c>
    </row>
    <row r="6" spans="1:7" x14ac:dyDescent="0.35">
      <c r="A6" s="14" t="s">
        <v>37</v>
      </c>
      <c r="B6">
        <v>4885</v>
      </c>
      <c r="D6">
        <v>15084</v>
      </c>
      <c r="E6">
        <v>8653</v>
      </c>
      <c r="G6">
        <v>28622</v>
      </c>
    </row>
    <row r="7" spans="1:7" x14ac:dyDescent="0.35">
      <c r="A7" s="14" t="s">
        <v>395</v>
      </c>
      <c r="B7">
        <v>5928</v>
      </c>
      <c r="C7">
        <v>5442</v>
      </c>
      <c r="D7">
        <v>8463</v>
      </c>
      <c r="G7">
        <v>19833</v>
      </c>
    </row>
    <row r="8" spans="1:7" x14ac:dyDescent="0.35">
      <c r="A8" s="14" t="s">
        <v>510</v>
      </c>
      <c r="C8">
        <v>11378</v>
      </c>
      <c r="D8">
        <v>7151</v>
      </c>
      <c r="G8">
        <v>18529</v>
      </c>
    </row>
    <row r="9" spans="1:7" x14ac:dyDescent="0.35">
      <c r="A9" s="14" t="s">
        <v>266</v>
      </c>
      <c r="B9">
        <v>4967</v>
      </c>
      <c r="D9">
        <v>7092</v>
      </c>
      <c r="E9">
        <v>1826</v>
      </c>
      <c r="G9">
        <v>13885</v>
      </c>
    </row>
    <row r="10" spans="1:7" x14ac:dyDescent="0.35">
      <c r="A10" s="14" t="s">
        <v>511</v>
      </c>
      <c r="C10">
        <v>15403</v>
      </c>
      <c r="D10">
        <v>7733</v>
      </c>
      <c r="E10">
        <v>9082</v>
      </c>
      <c r="G10">
        <v>32218</v>
      </c>
    </row>
    <row r="11" spans="1:7" x14ac:dyDescent="0.35">
      <c r="A11" s="14" t="s">
        <v>221</v>
      </c>
      <c r="C11">
        <v>7537</v>
      </c>
      <c r="D11">
        <v>6039</v>
      </c>
      <c r="E11">
        <v>3445</v>
      </c>
      <c r="G11">
        <v>17021</v>
      </c>
    </row>
    <row r="12" spans="1:7" x14ac:dyDescent="0.35">
      <c r="A12" s="14" t="s">
        <v>437</v>
      </c>
      <c r="B12">
        <v>3213</v>
      </c>
      <c r="C12">
        <v>4847</v>
      </c>
      <c r="D12">
        <v>3497</v>
      </c>
      <c r="E12">
        <v>2543</v>
      </c>
      <c r="G12">
        <v>14100</v>
      </c>
    </row>
    <row r="13" spans="1:7" x14ac:dyDescent="0.35">
      <c r="A13" s="14" t="s">
        <v>29</v>
      </c>
      <c r="B13">
        <v>6853</v>
      </c>
      <c r="D13">
        <v>12800</v>
      </c>
      <c r="E13">
        <v>7033</v>
      </c>
      <c r="G13">
        <v>26686</v>
      </c>
    </row>
    <row r="14" spans="1:7" x14ac:dyDescent="0.35">
      <c r="A14" s="14" t="s">
        <v>64</v>
      </c>
      <c r="B14">
        <v>13835</v>
      </c>
      <c r="E14">
        <v>9427</v>
      </c>
      <c r="G14">
        <v>23262</v>
      </c>
    </row>
    <row r="15" spans="1:7" x14ac:dyDescent="0.35">
      <c r="A15" s="14" t="s">
        <v>59</v>
      </c>
      <c r="B15">
        <v>8231</v>
      </c>
      <c r="C15">
        <v>1513</v>
      </c>
      <c r="D15">
        <v>5753</v>
      </c>
      <c r="E15">
        <v>5303</v>
      </c>
      <c r="G15">
        <v>20800</v>
      </c>
    </row>
    <row r="16" spans="1:7" x14ac:dyDescent="0.35">
      <c r="A16" s="14" t="s">
        <v>156</v>
      </c>
      <c r="B16">
        <v>7396</v>
      </c>
      <c r="C16">
        <v>8228</v>
      </c>
      <c r="D16">
        <v>6593</v>
      </c>
      <c r="G16">
        <v>22217</v>
      </c>
    </row>
    <row r="17" spans="1:7" x14ac:dyDescent="0.35">
      <c r="A17" s="14" t="s">
        <v>68</v>
      </c>
      <c r="B17">
        <v>7442</v>
      </c>
      <c r="C17">
        <v>6121</v>
      </c>
      <c r="E17">
        <v>11613</v>
      </c>
      <c r="G17">
        <v>25176</v>
      </c>
    </row>
    <row r="18" spans="1:7" x14ac:dyDescent="0.35">
      <c r="A18" s="14" t="s">
        <v>512</v>
      </c>
      <c r="C18">
        <v>2199</v>
      </c>
      <c r="D18">
        <v>3925</v>
      </c>
      <c r="E18">
        <v>9308</v>
      </c>
      <c r="G18">
        <v>15432</v>
      </c>
    </row>
    <row r="19" spans="1:7" x14ac:dyDescent="0.35">
      <c r="A19" s="14" t="s">
        <v>513</v>
      </c>
      <c r="B19">
        <v>13040</v>
      </c>
      <c r="D19">
        <v>4942</v>
      </c>
      <c r="G19">
        <v>17982</v>
      </c>
    </row>
    <row r="20" spans="1:7" x14ac:dyDescent="0.35">
      <c r="A20" s="14" t="s">
        <v>514</v>
      </c>
      <c r="B20">
        <v>9904</v>
      </c>
      <c r="D20">
        <v>8530</v>
      </c>
      <c r="G20">
        <v>18434</v>
      </c>
    </row>
    <row r="21" spans="1:7" x14ac:dyDescent="0.35">
      <c r="A21" s="14" t="s">
        <v>515</v>
      </c>
      <c r="B21">
        <v>4808</v>
      </c>
      <c r="C21">
        <v>2421</v>
      </c>
      <c r="E21">
        <v>10348</v>
      </c>
      <c r="G21">
        <v>17577</v>
      </c>
    </row>
    <row r="22" spans="1:7" x14ac:dyDescent="0.35">
      <c r="A22" s="14" t="s">
        <v>516</v>
      </c>
      <c r="D22">
        <v>16256</v>
      </c>
      <c r="E22">
        <v>7115</v>
      </c>
      <c r="G22">
        <v>23371</v>
      </c>
    </row>
    <row r="23" spans="1:7" x14ac:dyDescent="0.35">
      <c r="A23" s="14" t="s">
        <v>130</v>
      </c>
      <c r="B23">
        <v>23973</v>
      </c>
      <c r="E23">
        <v>6918</v>
      </c>
      <c r="G23">
        <v>30891</v>
      </c>
    </row>
    <row r="24" spans="1:7" x14ac:dyDescent="0.35">
      <c r="A24" s="14" t="s">
        <v>161</v>
      </c>
      <c r="C24">
        <v>14812</v>
      </c>
      <c r="E24">
        <v>12442</v>
      </c>
      <c r="G24">
        <v>27254</v>
      </c>
    </row>
    <row r="25" spans="1:7" x14ac:dyDescent="0.35">
      <c r="A25" s="14" t="s">
        <v>233</v>
      </c>
      <c r="C25">
        <v>4942</v>
      </c>
      <c r="D25">
        <v>8687</v>
      </c>
      <c r="E25">
        <v>3056</v>
      </c>
      <c r="G25">
        <v>16685</v>
      </c>
    </row>
    <row r="26" spans="1:7" x14ac:dyDescent="0.35">
      <c r="A26" s="14" t="s">
        <v>517</v>
      </c>
      <c r="C26">
        <v>4882</v>
      </c>
      <c r="D26">
        <v>9649</v>
      </c>
      <c r="E26">
        <v>5220</v>
      </c>
      <c r="G26">
        <v>19751</v>
      </c>
    </row>
    <row r="27" spans="1:7" x14ac:dyDescent="0.35">
      <c r="A27" s="14" t="s">
        <v>54</v>
      </c>
      <c r="B27">
        <v>5206</v>
      </c>
      <c r="C27">
        <v>9648</v>
      </c>
      <c r="D27">
        <v>6384</v>
      </c>
      <c r="G27">
        <v>21238</v>
      </c>
    </row>
    <row r="28" spans="1:7" x14ac:dyDescent="0.35">
      <c r="A28" s="14" t="s">
        <v>452</v>
      </c>
      <c r="B28">
        <v>14537</v>
      </c>
      <c r="C28">
        <v>8945</v>
      </c>
      <c r="E28">
        <v>5143</v>
      </c>
      <c r="G28">
        <v>28625</v>
      </c>
    </row>
    <row r="29" spans="1:7" x14ac:dyDescent="0.35">
      <c r="A29" s="14" t="s">
        <v>518</v>
      </c>
      <c r="B29">
        <v>8999</v>
      </c>
      <c r="C29">
        <v>5402</v>
      </c>
      <c r="E29">
        <v>3929</v>
      </c>
      <c r="G29">
        <v>18330</v>
      </c>
    </row>
    <row r="30" spans="1:7" x14ac:dyDescent="0.35">
      <c r="A30" s="14" t="s">
        <v>178</v>
      </c>
      <c r="B30">
        <v>3461</v>
      </c>
      <c r="C30">
        <v>949</v>
      </c>
      <c r="D30">
        <v>6642</v>
      </c>
      <c r="E30">
        <v>4790</v>
      </c>
      <c r="G30">
        <v>15842</v>
      </c>
    </row>
    <row r="31" spans="1:7" x14ac:dyDescent="0.35">
      <c r="A31" s="14" t="s">
        <v>89</v>
      </c>
      <c r="B31">
        <v>4802</v>
      </c>
      <c r="C31">
        <v>8527</v>
      </c>
      <c r="D31">
        <v>6275</v>
      </c>
      <c r="G31">
        <v>19604</v>
      </c>
    </row>
    <row r="32" spans="1:7" x14ac:dyDescent="0.35">
      <c r="A32" s="14" t="s">
        <v>14</v>
      </c>
      <c r="B32">
        <v>4314</v>
      </c>
      <c r="C32">
        <v>7541</v>
      </c>
      <c r="E32">
        <v>7328</v>
      </c>
      <c r="G32">
        <v>19183</v>
      </c>
    </row>
    <row r="33" spans="1:7" x14ac:dyDescent="0.35">
      <c r="A33" s="14" t="s">
        <v>519</v>
      </c>
      <c r="B33">
        <v>4214</v>
      </c>
      <c r="C33">
        <v>16577</v>
      </c>
      <c r="D33">
        <v>3079</v>
      </c>
      <c r="G33">
        <v>23870</v>
      </c>
    </row>
    <row r="34" spans="1:7" x14ac:dyDescent="0.35">
      <c r="A34" s="14" t="s">
        <v>99</v>
      </c>
      <c r="C34">
        <v>9254</v>
      </c>
      <c r="D34">
        <v>9202</v>
      </c>
      <c r="E34">
        <v>8601</v>
      </c>
      <c r="G34">
        <v>27057</v>
      </c>
    </row>
    <row r="35" spans="1:7" x14ac:dyDescent="0.35">
      <c r="A35" s="14" t="s">
        <v>520</v>
      </c>
      <c r="B35">
        <v>2919</v>
      </c>
      <c r="C35">
        <v>7471</v>
      </c>
      <c r="D35">
        <v>7346</v>
      </c>
      <c r="E35">
        <v>1001</v>
      </c>
      <c r="G35">
        <v>18737</v>
      </c>
    </row>
    <row r="36" spans="1:7" x14ac:dyDescent="0.35">
      <c r="A36" s="14" t="s">
        <v>521</v>
      </c>
      <c r="D36">
        <v>20155</v>
      </c>
      <c r="E36">
        <v>7654</v>
      </c>
      <c r="G36">
        <v>27809</v>
      </c>
    </row>
    <row r="37" spans="1:7" x14ac:dyDescent="0.35">
      <c r="A37" s="14" t="s">
        <v>181</v>
      </c>
      <c r="B37">
        <v>3643</v>
      </c>
      <c r="C37">
        <v>7260</v>
      </c>
      <c r="D37">
        <v>11789</v>
      </c>
      <c r="G37">
        <v>22692</v>
      </c>
    </row>
    <row r="38" spans="1:7" x14ac:dyDescent="0.35">
      <c r="A38" s="14" t="s">
        <v>522</v>
      </c>
      <c r="D38">
        <v>16086</v>
      </c>
      <c r="E38">
        <v>12447</v>
      </c>
      <c r="G38">
        <v>28533</v>
      </c>
    </row>
    <row r="39" spans="1:7" x14ac:dyDescent="0.35">
      <c r="A39" s="14" t="s">
        <v>439</v>
      </c>
      <c r="C39">
        <v>12622</v>
      </c>
      <c r="D39">
        <v>1020</v>
      </c>
      <c r="G39">
        <v>13642</v>
      </c>
    </row>
    <row r="40" spans="1:7" x14ac:dyDescent="0.35">
      <c r="A40" s="14" t="s">
        <v>101</v>
      </c>
      <c r="B40">
        <v>11468</v>
      </c>
      <c r="C40">
        <v>5101</v>
      </c>
      <c r="D40">
        <v>1290</v>
      </c>
      <c r="G40">
        <v>17859</v>
      </c>
    </row>
    <row r="41" spans="1:7" x14ac:dyDescent="0.35">
      <c r="A41" s="14" t="s">
        <v>114</v>
      </c>
      <c r="B41">
        <v>15087</v>
      </c>
      <c r="E41">
        <v>15359</v>
      </c>
      <c r="G41">
        <v>30446</v>
      </c>
    </row>
    <row r="42" spans="1:7" x14ac:dyDescent="0.35">
      <c r="A42" s="14" t="s">
        <v>158</v>
      </c>
      <c r="C42">
        <v>7432</v>
      </c>
      <c r="D42">
        <v>6326</v>
      </c>
      <c r="E42">
        <v>6631</v>
      </c>
      <c r="G42">
        <v>20389</v>
      </c>
    </row>
    <row r="43" spans="1:7" x14ac:dyDescent="0.35">
      <c r="A43" s="14" t="s">
        <v>523</v>
      </c>
      <c r="B43">
        <v>2994</v>
      </c>
      <c r="C43">
        <v>2535</v>
      </c>
      <c r="D43">
        <v>8723</v>
      </c>
      <c r="E43">
        <v>3555</v>
      </c>
      <c r="G43">
        <v>17807</v>
      </c>
    </row>
    <row r="44" spans="1:7" x14ac:dyDescent="0.35">
      <c r="A44" s="14" t="s">
        <v>524</v>
      </c>
      <c r="B44">
        <v>8292</v>
      </c>
      <c r="C44">
        <v>19728</v>
      </c>
      <c r="G44">
        <v>28020</v>
      </c>
    </row>
    <row r="45" spans="1:7" x14ac:dyDescent="0.35">
      <c r="A45" s="14" t="s">
        <v>340</v>
      </c>
      <c r="C45">
        <v>21227</v>
      </c>
      <c r="E45">
        <v>4189</v>
      </c>
      <c r="G45">
        <v>25416</v>
      </c>
    </row>
    <row r="46" spans="1:7" x14ac:dyDescent="0.35">
      <c r="A46" s="14" t="s">
        <v>525</v>
      </c>
      <c r="B46">
        <v>6128</v>
      </c>
      <c r="C46">
        <v>1660</v>
      </c>
      <c r="D46">
        <v>6272</v>
      </c>
      <c r="E46">
        <v>1567</v>
      </c>
      <c r="G46">
        <v>15627</v>
      </c>
    </row>
    <row r="47" spans="1:7" x14ac:dyDescent="0.35">
      <c r="A47" s="14" t="s">
        <v>355</v>
      </c>
      <c r="B47">
        <v>1425</v>
      </c>
      <c r="C47">
        <v>4542</v>
      </c>
      <c r="D47">
        <v>8319</v>
      </c>
      <c r="E47">
        <v>6434</v>
      </c>
      <c r="G47">
        <v>20720</v>
      </c>
    </row>
    <row r="48" spans="1:7" x14ac:dyDescent="0.35">
      <c r="A48" s="14" t="s">
        <v>526</v>
      </c>
      <c r="C48">
        <v>24995</v>
      </c>
      <c r="G48">
        <v>24995</v>
      </c>
    </row>
    <row r="49" spans="1:7" x14ac:dyDescent="0.35">
      <c r="A49" s="14" t="s">
        <v>527</v>
      </c>
      <c r="B49">
        <v>15012</v>
      </c>
      <c r="D49">
        <v>7058</v>
      </c>
      <c r="G49">
        <v>22070</v>
      </c>
    </row>
    <row r="50" spans="1:7" x14ac:dyDescent="0.35">
      <c r="A50" s="14" t="s">
        <v>313</v>
      </c>
      <c r="C50">
        <v>1512</v>
      </c>
      <c r="D50">
        <v>15937</v>
      </c>
      <c r="G50">
        <v>17449</v>
      </c>
    </row>
    <row r="51" spans="1:7" x14ac:dyDescent="0.35">
      <c r="A51" s="14" t="s">
        <v>61</v>
      </c>
      <c r="B51">
        <v>7959</v>
      </c>
      <c r="C51">
        <v>2960</v>
      </c>
      <c r="E51">
        <v>5210</v>
      </c>
      <c r="G51">
        <v>16129</v>
      </c>
    </row>
    <row r="52" spans="1:7" x14ac:dyDescent="0.35">
      <c r="A52" s="14" t="s">
        <v>24</v>
      </c>
      <c r="B52">
        <v>2805</v>
      </c>
      <c r="C52">
        <v>8146</v>
      </c>
      <c r="D52">
        <v>7436</v>
      </c>
      <c r="G52">
        <v>18387</v>
      </c>
    </row>
    <row r="53" spans="1:7" x14ac:dyDescent="0.35">
      <c r="A53" s="14" t="s">
        <v>589</v>
      </c>
    </row>
    <row r="54" spans="1:7" x14ac:dyDescent="0.35">
      <c r="A54" s="14" t="s">
        <v>560</v>
      </c>
      <c r="B54">
        <v>261862</v>
      </c>
      <c r="C54">
        <v>290487</v>
      </c>
      <c r="D54">
        <v>303407</v>
      </c>
      <c r="E54">
        <v>230642</v>
      </c>
      <c r="G54">
        <v>1086398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7BF8-4021-440E-9A74-517561E4579F}">
  <dimension ref="A1:F52"/>
  <sheetViews>
    <sheetView topLeftCell="A7" workbookViewId="0">
      <selection activeCell="F19" sqref="F19"/>
    </sheetView>
  </sheetViews>
  <sheetFormatPr defaultRowHeight="14.5" x14ac:dyDescent="0.35"/>
  <cols>
    <col min="1" max="1" width="12.36328125" bestFit="1" customWidth="1"/>
    <col min="2" max="2" width="20" bestFit="1" customWidth="1"/>
  </cols>
  <sheetData>
    <row r="1" spans="1:2" x14ac:dyDescent="0.35">
      <c r="A1" s="13" t="s">
        <v>559</v>
      </c>
      <c r="B1" t="s">
        <v>618</v>
      </c>
    </row>
    <row r="2" spans="1:2" x14ac:dyDescent="0.35">
      <c r="A2" s="14" t="s">
        <v>188</v>
      </c>
      <c r="B2">
        <v>30937</v>
      </c>
    </row>
    <row r="3" spans="1:2" x14ac:dyDescent="0.35">
      <c r="A3" s="14" t="s">
        <v>201</v>
      </c>
      <c r="B3">
        <v>24926</v>
      </c>
    </row>
    <row r="4" spans="1:2" x14ac:dyDescent="0.35">
      <c r="A4" s="14" t="s">
        <v>126</v>
      </c>
      <c r="B4">
        <v>29033</v>
      </c>
    </row>
    <row r="5" spans="1:2" x14ac:dyDescent="0.35">
      <c r="A5" s="14" t="s">
        <v>37</v>
      </c>
      <c r="B5">
        <v>31430</v>
      </c>
    </row>
    <row r="6" spans="1:2" x14ac:dyDescent="0.35">
      <c r="A6" s="14" t="s">
        <v>395</v>
      </c>
      <c r="B6">
        <v>21836</v>
      </c>
    </row>
    <row r="7" spans="1:2" x14ac:dyDescent="0.35">
      <c r="A7" s="14" t="s">
        <v>510</v>
      </c>
      <c r="B7">
        <v>20394</v>
      </c>
    </row>
    <row r="8" spans="1:2" x14ac:dyDescent="0.35">
      <c r="A8" s="14" t="s">
        <v>266</v>
      </c>
      <c r="B8">
        <v>15600</v>
      </c>
    </row>
    <row r="9" spans="1:2" x14ac:dyDescent="0.35">
      <c r="A9" s="14" t="s">
        <v>511</v>
      </c>
      <c r="B9">
        <v>35220</v>
      </c>
    </row>
    <row r="10" spans="1:2" x14ac:dyDescent="0.35">
      <c r="A10" s="14" t="s">
        <v>221</v>
      </c>
      <c r="B10">
        <v>19605</v>
      </c>
    </row>
    <row r="11" spans="1:2" x14ac:dyDescent="0.35">
      <c r="A11" s="14" t="s">
        <v>437</v>
      </c>
      <c r="B11">
        <v>15446</v>
      </c>
    </row>
    <row r="12" spans="1:2" x14ac:dyDescent="0.35">
      <c r="A12" s="14" t="s">
        <v>29</v>
      </c>
      <c r="B12">
        <v>29373</v>
      </c>
    </row>
    <row r="13" spans="1:2" x14ac:dyDescent="0.35">
      <c r="A13" s="14" t="s">
        <v>64</v>
      </c>
      <c r="B13">
        <v>25600</v>
      </c>
    </row>
    <row r="14" spans="1:2" x14ac:dyDescent="0.35">
      <c r="A14" s="14" t="s">
        <v>59</v>
      </c>
      <c r="B14">
        <v>23590</v>
      </c>
    </row>
    <row r="15" spans="1:2" x14ac:dyDescent="0.35">
      <c r="A15" s="14" t="s">
        <v>156</v>
      </c>
      <c r="B15">
        <v>25624</v>
      </c>
    </row>
    <row r="16" spans="1:2" x14ac:dyDescent="0.35">
      <c r="A16" s="14" t="s">
        <v>68</v>
      </c>
      <c r="B16">
        <v>27016</v>
      </c>
    </row>
    <row r="17" spans="1:6" x14ac:dyDescent="0.35">
      <c r="A17" s="14" t="s">
        <v>512</v>
      </c>
      <c r="B17">
        <v>17005</v>
      </c>
    </row>
    <row r="18" spans="1:6" x14ac:dyDescent="0.35">
      <c r="A18" s="14" t="s">
        <v>513</v>
      </c>
      <c r="B18">
        <v>20095</v>
      </c>
      <c r="F18">
        <f>MAX(B2:B51)</f>
        <v>35220</v>
      </c>
    </row>
    <row r="19" spans="1:6" x14ac:dyDescent="0.35">
      <c r="A19" s="14" t="s">
        <v>514</v>
      </c>
      <c r="B19">
        <v>20374</v>
      </c>
      <c r="F19" t="str">
        <f>INDEX(A2:A51,MATCH(MAX(B2:B51),B2:B51,0))</f>
        <v>2024-07-22</v>
      </c>
    </row>
    <row r="20" spans="1:6" x14ac:dyDescent="0.35">
      <c r="A20" s="14" t="s">
        <v>515</v>
      </c>
      <c r="B20">
        <v>19886</v>
      </c>
    </row>
    <row r="21" spans="1:6" x14ac:dyDescent="0.35">
      <c r="A21" s="14" t="s">
        <v>516</v>
      </c>
      <c r="B21">
        <v>25576</v>
      </c>
    </row>
    <row r="22" spans="1:6" x14ac:dyDescent="0.35">
      <c r="A22" s="14" t="s">
        <v>130</v>
      </c>
      <c r="B22">
        <v>34182</v>
      </c>
    </row>
    <row r="23" spans="1:6" x14ac:dyDescent="0.35">
      <c r="A23" s="14" t="s">
        <v>161</v>
      </c>
      <c r="B23">
        <v>30338</v>
      </c>
    </row>
    <row r="24" spans="1:6" x14ac:dyDescent="0.35">
      <c r="A24" s="14" t="s">
        <v>233</v>
      </c>
      <c r="B24">
        <v>18704</v>
      </c>
    </row>
    <row r="25" spans="1:6" x14ac:dyDescent="0.35">
      <c r="A25" s="14" t="s">
        <v>517</v>
      </c>
      <c r="B25">
        <v>22206</v>
      </c>
    </row>
    <row r="26" spans="1:6" x14ac:dyDescent="0.35">
      <c r="A26" s="14" t="s">
        <v>54</v>
      </c>
      <c r="B26">
        <v>23076</v>
      </c>
    </row>
    <row r="27" spans="1:6" x14ac:dyDescent="0.35">
      <c r="A27" s="14" t="s">
        <v>452</v>
      </c>
      <c r="B27">
        <v>31244</v>
      </c>
    </row>
    <row r="28" spans="1:6" x14ac:dyDescent="0.35">
      <c r="A28" s="14" t="s">
        <v>518</v>
      </c>
      <c r="B28">
        <v>20319</v>
      </c>
    </row>
    <row r="29" spans="1:6" x14ac:dyDescent="0.35">
      <c r="A29" s="14" t="s">
        <v>178</v>
      </c>
      <c r="B29">
        <v>17052</v>
      </c>
    </row>
    <row r="30" spans="1:6" x14ac:dyDescent="0.35">
      <c r="A30" s="14" t="s">
        <v>89</v>
      </c>
      <c r="B30">
        <v>22471</v>
      </c>
    </row>
    <row r="31" spans="1:6" x14ac:dyDescent="0.35">
      <c r="A31" s="14" t="s">
        <v>14</v>
      </c>
      <c r="B31">
        <v>21551</v>
      </c>
    </row>
    <row r="32" spans="1:6" x14ac:dyDescent="0.35">
      <c r="A32" s="14" t="s">
        <v>519</v>
      </c>
      <c r="B32">
        <v>26732</v>
      </c>
    </row>
    <row r="33" spans="1:2" x14ac:dyDescent="0.35">
      <c r="A33" s="14" t="s">
        <v>99</v>
      </c>
      <c r="B33">
        <v>30112</v>
      </c>
    </row>
    <row r="34" spans="1:2" x14ac:dyDescent="0.35">
      <c r="A34" s="14" t="s">
        <v>520</v>
      </c>
      <c r="B34">
        <v>20282</v>
      </c>
    </row>
    <row r="35" spans="1:2" x14ac:dyDescent="0.35">
      <c r="A35" s="14" t="s">
        <v>521</v>
      </c>
      <c r="B35">
        <v>30445</v>
      </c>
    </row>
    <row r="36" spans="1:2" x14ac:dyDescent="0.35">
      <c r="A36" s="14" t="s">
        <v>181</v>
      </c>
      <c r="B36">
        <v>25524</v>
      </c>
    </row>
    <row r="37" spans="1:2" x14ac:dyDescent="0.35">
      <c r="A37" s="14" t="s">
        <v>522</v>
      </c>
      <c r="B37">
        <v>31493</v>
      </c>
    </row>
    <row r="38" spans="1:2" x14ac:dyDescent="0.35">
      <c r="A38" s="14" t="s">
        <v>439</v>
      </c>
      <c r="B38">
        <v>14946</v>
      </c>
    </row>
    <row r="39" spans="1:2" x14ac:dyDescent="0.35">
      <c r="A39" s="14" t="s">
        <v>101</v>
      </c>
      <c r="B39">
        <v>19736</v>
      </c>
    </row>
    <row r="40" spans="1:2" x14ac:dyDescent="0.35">
      <c r="A40" s="14" t="s">
        <v>114</v>
      </c>
      <c r="B40">
        <v>33650</v>
      </c>
    </row>
    <row r="41" spans="1:2" x14ac:dyDescent="0.35">
      <c r="A41" s="14" t="s">
        <v>158</v>
      </c>
      <c r="B41">
        <v>23100</v>
      </c>
    </row>
    <row r="42" spans="1:2" x14ac:dyDescent="0.35">
      <c r="A42" s="14" t="s">
        <v>523</v>
      </c>
      <c r="B42">
        <v>19763</v>
      </c>
    </row>
    <row r="43" spans="1:2" x14ac:dyDescent="0.35">
      <c r="A43" s="14" t="s">
        <v>524</v>
      </c>
      <c r="B43">
        <v>30743</v>
      </c>
    </row>
    <row r="44" spans="1:2" x14ac:dyDescent="0.35">
      <c r="A44" s="14" t="s">
        <v>340</v>
      </c>
      <c r="B44">
        <v>27347</v>
      </c>
    </row>
    <row r="45" spans="1:2" x14ac:dyDescent="0.35">
      <c r="A45" s="14" t="s">
        <v>525</v>
      </c>
      <c r="B45">
        <v>17134</v>
      </c>
    </row>
    <row r="46" spans="1:2" x14ac:dyDescent="0.35">
      <c r="A46" s="14" t="s">
        <v>355</v>
      </c>
      <c r="B46">
        <v>23521</v>
      </c>
    </row>
    <row r="47" spans="1:2" x14ac:dyDescent="0.35">
      <c r="A47" s="14" t="s">
        <v>526</v>
      </c>
      <c r="B47">
        <v>27882</v>
      </c>
    </row>
    <row r="48" spans="1:2" x14ac:dyDescent="0.35">
      <c r="A48" s="14" t="s">
        <v>527</v>
      </c>
      <c r="B48">
        <v>24797</v>
      </c>
    </row>
    <row r="49" spans="1:2" x14ac:dyDescent="0.35">
      <c r="A49" s="14" t="s">
        <v>313</v>
      </c>
      <c r="B49">
        <v>19217</v>
      </c>
    </row>
    <row r="50" spans="1:2" x14ac:dyDescent="0.35">
      <c r="A50" s="14" t="s">
        <v>61</v>
      </c>
      <c r="B50">
        <v>17866</v>
      </c>
    </row>
    <row r="51" spans="1:2" x14ac:dyDescent="0.35">
      <c r="A51" s="14" t="s">
        <v>24</v>
      </c>
      <c r="B51">
        <v>21189</v>
      </c>
    </row>
    <row r="52" spans="1:2" x14ac:dyDescent="0.35">
      <c r="A52" s="14" t="s">
        <v>560</v>
      </c>
      <c r="B52">
        <v>1205188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8AE8-47A2-4A98-87CB-1A73C1AF255B}">
  <dimension ref="A1:I51"/>
  <sheetViews>
    <sheetView workbookViewId="0">
      <selection activeCell="J4" sqref="J4"/>
    </sheetView>
  </sheetViews>
  <sheetFormatPr defaultRowHeight="14.5" x14ac:dyDescent="0.35"/>
  <sheetData>
    <row r="1" spans="1:9" x14ac:dyDescent="0.35">
      <c r="A1" s="19" t="s">
        <v>2</v>
      </c>
      <c r="B1" t="s">
        <v>23</v>
      </c>
      <c r="C1" t="s">
        <v>19</v>
      </c>
      <c r="D1" t="s">
        <v>46</v>
      </c>
      <c r="E1" t="s">
        <v>13</v>
      </c>
      <c r="F1" s="19" t="s">
        <v>619</v>
      </c>
      <c r="G1" s="19" t="s">
        <v>620</v>
      </c>
      <c r="H1" s="19" t="s">
        <v>621</v>
      </c>
      <c r="I1" s="19" t="s">
        <v>622</v>
      </c>
    </row>
    <row r="2" spans="1:9" x14ac:dyDescent="0.35">
      <c r="A2" t="s">
        <v>188</v>
      </c>
      <c r="B2">
        <v>3777</v>
      </c>
      <c r="D2">
        <v>7432</v>
      </c>
      <c r="E2">
        <v>15994</v>
      </c>
      <c r="F2" s="15">
        <v>7251.75</v>
      </c>
      <c r="G2" s="15">
        <v>6728</v>
      </c>
      <c r="H2" s="15">
        <v>9239.5</v>
      </c>
      <c r="I2" s="15">
        <v>10708.333333333334</v>
      </c>
    </row>
    <row r="3" spans="1:9" x14ac:dyDescent="0.35">
      <c r="A3" t="s">
        <v>201</v>
      </c>
      <c r="B3">
        <v>7215</v>
      </c>
      <c r="D3">
        <v>8369</v>
      </c>
      <c r="E3">
        <v>7478</v>
      </c>
      <c r="F3" s="15">
        <v>7789.5</v>
      </c>
      <c r="G3" s="15">
        <v>6085</v>
      </c>
      <c r="H3" s="15">
        <v>9497.25</v>
      </c>
      <c r="I3" s="15">
        <v>8065.5</v>
      </c>
    </row>
    <row r="4" spans="1:9" x14ac:dyDescent="0.35">
      <c r="A4" t="s">
        <v>126</v>
      </c>
      <c r="B4">
        <v>13130</v>
      </c>
      <c r="C4">
        <v>6728</v>
      </c>
      <c r="D4">
        <v>6073</v>
      </c>
      <c r="F4" s="15">
        <v>7981</v>
      </c>
      <c r="G4" s="15">
        <v>7849.333333333333</v>
      </c>
      <c r="H4" s="15">
        <v>9192.75</v>
      </c>
      <c r="I4" s="15">
        <v>8653</v>
      </c>
    </row>
    <row r="5" spans="1:9" x14ac:dyDescent="0.35">
      <c r="A5" t="s">
        <v>37</v>
      </c>
      <c r="B5">
        <v>4885</v>
      </c>
      <c r="D5">
        <v>15084</v>
      </c>
      <c r="E5">
        <v>8653</v>
      </c>
      <c r="F5" s="15">
        <v>5260</v>
      </c>
      <c r="G5" s="15">
        <v>8410</v>
      </c>
      <c r="H5" s="15">
        <v>9447.5</v>
      </c>
      <c r="I5" s="15">
        <v>5239.5</v>
      </c>
    </row>
    <row r="6" spans="1:9" x14ac:dyDescent="0.35">
      <c r="A6" t="s">
        <v>395</v>
      </c>
      <c r="B6">
        <v>5928</v>
      </c>
      <c r="C6">
        <v>5442</v>
      </c>
      <c r="D6">
        <v>8463</v>
      </c>
      <c r="F6" s="15">
        <v>5447.5</v>
      </c>
      <c r="G6" s="15">
        <v>10741</v>
      </c>
      <c r="H6" s="15">
        <v>7609.75</v>
      </c>
      <c r="I6" s="15">
        <v>5454</v>
      </c>
    </row>
    <row r="7" spans="1:9" x14ac:dyDescent="0.35">
      <c r="A7" t="s">
        <v>510</v>
      </c>
      <c r="C7">
        <v>11378</v>
      </c>
      <c r="D7">
        <v>7151</v>
      </c>
      <c r="F7" s="15">
        <v>4967</v>
      </c>
      <c r="G7" s="15">
        <v>11439.333333333334</v>
      </c>
      <c r="H7" s="15">
        <v>7003.75</v>
      </c>
      <c r="I7" s="15">
        <v>4784.333333333333</v>
      </c>
    </row>
    <row r="8" spans="1:9" x14ac:dyDescent="0.35">
      <c r="A8" t="s">
        <v>266</v>
      </c>
      <c r="B8">
        <v>4967</v>
      </c>
      <c r="D8">
        <v>7092</v>
      </c>
      <c r="E8">
        <v>1826</v>
      </c>
      <c r="F8" s="15">
        <v>4090</v>
      </c>
      <c r="G8" s="15">
        <v>9262.3333333333339</v>
      </c>
      <c r="H8" s="15">
        <v>6090.25</v>
      </c>
      <c r="I8" s="15">
        <v>4224</v>
      </c>
    </row>
    <row r="9" spans="1:9" x14ac:dyDescent="0.35">
      <c r="A9" t="s">
        <v>511</v>
      </c>
      <c r="C9">
        <v>15403</v>
      </c>
      <c r="D9">
        <v>7733</v>
      </c>
      <c r="E9">
        <v>9082</v>
      </c>
      <c r="F9" s="15">
        <v>5033</v>
      </c>
      <c r="G9" s="15">
        <v>9262.3333333333339</v>
      </c>
      <c r="H9" s="15">
        <v>7517.25</v>
      </c>
      <c r="I9" s="15">
        <v>5525.75</v>
      </c>
    </row>
    <row r="10" spans="1:9" x14ac:dyDescent="0.35">
      <c r="A10" t="s">
        <v>221</v>
      </c>
      <c r="C10">
        <v>7537</v>
      </c>
      <c r="D10">
        <v>6039</v>
      </c>
      <c r="E10">
        <v>3445</v>
      </c>
      <c r="F10" s="15">
        <v>7967</v>
      </c>
      <c r="G10" s="15">
        <v>6192</v>
      </c>
      <c r="H10" s="15">
        <v>7445.333333333333</v>
      </c>
      <c r="I10" s="15">
        <v>5612</v>
      </c>
    </row>
    <row r="11" spans="1:9" x14ac:dyDescent="0.35">
      <c r="A11" t="s">
        <v>437</v>
      </c>
      <c r="B11">
        <v>3213</v>
      </c>
      <c r="C11">
        <v>4847</v>
      </c>
      <c r="D11">
        <v>3497</v>
      </c>
      <c r="E11">
        <v>2543</v>
      </c>
      <c r="F11" s="15">
        <v>8033</v>
      </c>
      <c r="G11" s="15">
        <v>3180</v>
      </c>
      <c r="H11" s="15">
        <v>7350</v>
      </c>
      <c r="I11" s="15">
        <v>6076.5</v>
      </c>
    </row>
    <row r="12" spans="1:9" x14ac:dyDescent="0.35">
      <c r="A12" t="s">
        <v>29</v>
      </c>
      <c r="B12">
        <v>6853</v>
      </c>
      <c r="D12">
        <v>12800</v>
      </c>
      <c r="E12">
        <v>7033</v>
      </c>
      <c r="F12" s="15">
        <v>9078.75</v>
      </c>
      <c r="G12" s="15">
        <v>4870.5</v>
      </c>
      <c r="H12" s="15">
        <v>8382</v>
      </c>
      <c r="I12" s="15">
        <v>7254.333333333333</v>
      </c>
    </row>
    <row r="13" spans="1:9" x14ac:dyDescent="0.35">
      <c r="A13" t="s">
        <v>64</v>
      </c>
      <c r="B13">
        <v>13835</v>
      </c>
      <c r="E13">
        <v>9427</v>
      </c>
      <c r="F13" s="15">
        <v>9226</v>
      </c>
      <c r="G13" s="15">
        <v>5287.333333333333</v>
      </c>
      <c r="H13" s="15">
        <v>6173</v>
      </c>
      <c r="I13" s="15">
        <v>8781</v>
      </c>
    </row>
    <row r="14" spans="1:9" x14ac:dyDescent="0.35">
      <c r="A14" t="s">
        <v>59</v>
      </c>
      <c r="B14">
        <v>8231</v>
      </c>
      <c r="C14">
        <v>1513</v>
      </c>
      <c r="D14">
        <v>5753</v>
      </c>
      <c r="E14">
        <v>5303</v>
      </c>
      <c r="F14" s="15">
        <v>7689.666666666667</v>
      </c>
      <c r="G14" s="15">
        <v>4515.25</v>
      </c>
      <c r="H14" s="15">
        <v>5423.666666666667</v>
      </c>
      <c r="I14" s="15">
        <v>8741.3333333333339</v>
      </c>
    </row>
    <row r="15" spans="1:9" x14ac:dyDescent="0.35">
      <c r="A15" t="s">
        <v>156</v>
      </c>
      <c r="B15">
        <v>7396</v>
      </c>
      <c r="C15">
        <v>8228</v>
      </c>
      <c r="D15">
        <v>6593</v>
      </c>
      <c r="F15" s="15">
        <v>9292.6666666666661</v>
      </c>
      <c r="G15" s="15">
        <v>5516</v>
      </c>
      <c r="H15" s="15">
        <v>5153.333333333333</v>
      </c>
      <c r="I15" s="15">
        <v>10460.5</v>
      </c>
    </row>
    <row r="16" spans="1:9" x14ac:dyDescent="0.35">
      <c r="A16" t="s">
        <v>68</v>
      </c>
      <c r="B16">
        <v>7442</v>
      </c>
      <c r="C16">
        <v>6121</v>
      </c>
      <c r="E16">
        <v>11613</v>
      </c>
      <c r="F16" s="15">
        <v>10128.666666666666</v>
      </c>
      <c r="G16" s="15">
        <v>4160</v>
      </c>
      <c r="H16" s="15">
        <v>5799</v>
      </c>
      <c r="I16" s="15">
        <v>10460.5</v>
      </c>
    </row>
    <row r="17" spans="1:9" x14ac:dyDescent="0.35">
      <c r="A17" t="s">
        <v>512</v>
      </c>
      <c r="C17">
        <v>2199</v>
      </c>
      <c r="D17">
        <v>3925</v>
      </c>
      <c r="E17">
        <v>9308</v>
      </c>
      <c r="F17" s="15">
        <v>9250.6666666666661</v>
      </c>
      <c r="G17" s="15">
        <v>2310</v>
      </c>
      <c r="H17" s="15">
        <v>5799</v>
      </c>
      <c r="I17" s="15">
        <v>9828</v>
      </c>
    </row>
    <row r="18" spans="1:9" x14ac:dyDescent="0.35">
      <c r="A18" t="s">
        <v>513</v>
      </c>
      <c r="B18">
        <v>13040</v>
      </c>
      <c r="D18">
        <v>4942</v>
      </c>
      <c r="F18" s="15">
        <v>9250.6666666666661</v>
      </c>
      <c r="G18" s="15">
        <v>2421</v>
      </c>
      <c r="H18" s="15">
        <v>9909.3333333333339</v>
      </c>
      <c r="I18" s="15">
        <v>8731.5</v>
      </c>
    </row>
    <row r="19" spans="1:9" x14ac:dyDescent="0.35">
      <c r="A19" t="s">
        <v>514</v>
      </c>
      <c r="B19">
        <v>9904</v>
      </c>
      <c r="D19">
        <v>8530</v>
      </c>
      <c r="F19" s="15">
        <v>12895</v>
      </c>
      <c r="G19" s="15">
        <v>2421</v>
      </c>
      <c r="H19" s="15">
        <v>12393</v>
      </c>
      <c r="I19" s="15">
        <v>8127</v>
      </c>
    </row>
    <row r="20" spans="1:9" x14ac:dyDescent="0.35">
      <c r="A20" t="s">
        <v>515</v>
      </c>
      <c r="B20">
        <v>4808</v>
      </c>
      <c r="C20">
        <v>2421</v>
      </c>
      <c r="E20">
        <v>10348</v>
      </c>
      <c r="F20" s="15">
        <v>14390.5</v>
      </c>
      <c r="G20" s="15">
        <v>8616.5</v>
      </c>
      <c r="H20" s="15">
        <v>16256</v>
      </c>
      <c r="I20" s="15">
        <v>9205.75</v>
      </c>
    </row>
    <row r="21" spans="1:9" x14ac:dyDescent="0.35">
      <c r="A21" t="s">
        <v>516</v>
      </c>
      <c r="D21">
        <v>16256</v>
      </c>
      <c r="E21">
        <v>7115</v>
      </c>
      <c r="F21" s="15">
        <v>23973</v>
      </c>
      <c r="G21" s="15">
        <v>9877</v>
      </c>
      <c r="H21" s="15">
        <v>12471.5</v>
      </c>
      <c r="I21" s="15">
        <v>7382.75</v>
      </c>
    </row>
    <row r="22" spans="1:9" x14ac:dyDescent="0.35">
      <c r="A22" t="s">
        <v>130</v>
      </c>
      <c r="B22">
        <v>23973</v>
      </c>
      <c r="E22">
        <v>6918</v>
      </c>
      <c r="F22" s="15">
        <v>23973</v>
      </c>
      <c r="G22" s="15">
        <v>8212</v>
      </c>
      <c r="H22" s="15">
        <v>9168</v>
      </c>
      <c r="I22" s="15">
        <v>6909</v>
      </c>
    </row>
    <row r="23" spans="1:9" x14ac:dyDescent="0.35">
      <c r="A23" t="s">
        <v>161</v>
      </c>
      <c r="C23">
        <v>14812</v>
      </c>
      <c r="E23">
        <v>12442</v>
      </c>
      <c r="F23" s="15">
        <v>5206</v>
      </c>
      <c r="G23" s="15">
        <v>8571</v>
      </c>
      <c r="H23" s="15">
        <v>8240</v>
      </c>
      <c r="I23" s="15">
        <v>6906</v>
      </c>
    </row>
    <row r="24" spans="1:9" x14ac:dyDescent="0.35">
      <c r="A24" t="s">
        <v>233</v>
      </c>
      <c r="C24">
        <v>4942</v>
      </c>
      <c r="D24">
        <v>8687</v>
      </c>
      <c r="E24">
        <v>3056</v>
      </c>
      <c r="F24" s="15">
        <v>9871.5</v>
      </c>
      <c r="G24" s="15">
        <v>7104.25</v>
      </c>
      <c r="H24" s="15">
        <v>8240</v>
      </c>
      <c r="I24" s="15">
        <v>4473</v>
      </c>
    </row>
    <row r="25" spans="1:9" x14ac:dyDescent="0.35">
      <c r="A25" t="s">
        <v>517</v>
      </c>
      <c r="C25">
        <v>4882</v>
      </c>
      <c r="D25">
        <v>9649</v>
      </c>
      <c r="E25">
        <v>5220</v>
      </c>
      <c r="F25" s="15">
        <v>9580.6666666666661</v>
      </c>
      <c r="G25" s="15">
        <v>7219.25</v>
      </c>
      <c r="H25" s="15">
        <v>8016.5</v>
      </c>
      <c r="I25" s="15">
        <v>4764</v>
      </c>
    </row>
    <row r="26" spans="1:9" x14ac:dyDescent="0.35">
      <c r="A26" t="s">
        <v>54</v>
      </c>
      <c r="B26">
        <v>5206</v>
      </c>
      <c r="C26">
        <v>9648</v>
      </c>
      <c r="D26">
        <v>6384</v>
      </c>
      <c r="F26" s="15">
        <v>8050.75</v>
      </c>
      <c r="G26" s="15">
        <v>6236</v>
      </c>
      <c r="H26" s="15">
        <v>6513</v>
      </c>
      <c r="I26" s="15">
        <v>4620.666666666667</v>
      </c>
    </row>
    <row r="27" spans="1:9" x14ac:dyDescent="0.35">
      <c r="A27" t="s">
        <v>452</v>
      </c>
      <c r="B27">
        <v>14537</v>
      </c>
      <c r="C27">
        <v>8945</v>
      </c>
      <c r="E27">
        <v>5143</v>
      </c>
      <c r="F27" s="15">
        <v>7949.75</v>
      </c>
      <c r="G27" s="15">
        <v>5955.75</v>
      </c>
      <c r="H27" s="15">
        <v>6458.5</v>
      </c>
      <c r="I27" s="15">
        <v>4620.666666666667</v>
      </c>
    </row>
    <row r="28" spans="1:9" x14ac:dyDescent="0.35">
      <c r="A28" t="s">
        <v>518</v>
      </c>
      <c r="B28">
        <v>8999</v>
      </c>
      <c r="C28">
        <v>5402</v>
      </c>
      <c r="E28">
        <v>3929</v>
      </c>
      <c r="F28" s="15">
        <v>5394</v>
      </c>
      <c r="G28" s="15">
        <v>5604.75</v>
      </c>
      <c r="H28" s="15">
        <v>6458.5</v>
      </c>
      <c r="I28" s="15">
        <v>5349</v>
      </c>
    </row>
    <row r="29" spans="1:9" x14ac:dyDescent="0.35">
      <c r="A29" t="s">
        <v>178</v>
      </c>
      <c r="B29">
        <v>3461</v>
      </c>
      <c r="C29">
        <v>949</v>
      </c>
      <c r="D29">
        <v>6642</v>
      </c>
      <c r="E29">
        <v>4790</v>
      </c>
      <c r="F29" s="15">
        <v>4197.75</v>
      </c>
      <c r="G29" s="15">
        <v>8398.5</v>
      </c>
      <c r="H29" s="15">
        <v>5332</v>
      </c>
      <c r="I29" s="15">
        <v>6059</v>
      </c>
    </row>
    <row r="30" spans="1:9" x14ac:dyDescent="0.35">
      <c r="A30" t="s">
        <v>89</v>
      </c>
      <c r="B30">
        <v>4802</v>
      </c>
      <c r="C30">
        <v>8527</v>
      </c>
      <c r="D30">
        <v>6275</v>
      </c>
      <c r="F30" s="15">
        <v>4443.333333333333</v>
      </c>
      <c r="G30" s="15">
        <v>10474.75</v>
      </c>
      <c r="H30" s="15">
        <v>6185.333333333333</v>
      </c>
      <c r="I30" s="15">
        <v>7964.5</v>
      </c>
    </row>
    <row r="31" spans="1:9" x14ac:dyDescent="0.35">
      <c r="A31" t="s">
        <v>14</v>
      </c>
      <c r="B31">
        <v>4314</v>
      </c>
      <c r="C31">
        <v>7541</v>
      </c>
      <c r="E31">
        <v>7328</v>
      </c>
      <c r="F31" s="15">
        <v>3815.6666666666665</v>
      </c>
      <c r="G31" s="15">
        <v>10210.75</v>
      </c>
      <c r="H31" s="15">
        <v>6542.333333333333</v>
      </c>
      <c r="I31" s="15">
        <v>5643.333333333333</v>
      </c>
    </row>
    <row r="32" spans="1:9" x14ac:dyDescent="0.35">
      <c r="A32" t="s">
        <v>519</v>
      </c>
      <c r="B32">
        <v>4214</v>
      </c>
      <c r="C32">
        <v>16577</v>
      </c>
      <c r="D32">
        <v>3079</v>
      </c>
      <c r="F32" s="15">
        <v>3566.5</v>
      </c>
      <c r="G32" s="15">
        <v>11100.666666666666</v>
      </c>
      <c r="H32" s="15">
        <v>9945.5</v>
      </c>
      <c r="I32" s="15">
        <v>5752</v>
      </c>
    </row>
    <row r="33" spans="1:9" x14ac:dyDescent="0.35">
      <c r="A33" t="s">
        <v>99</v>
      </c>
      <c r="C33">
        <v>9254</v>
      </c>
      <c r="D33">
        <v>9202</v>
      </c>
      <c r="E33">
        <v>8601</v>
      </c>
      <c r="F33" s="15">
        <v>3281</v>
      </c>
      <c r="G33" s="15">
        <v>7995</v>
      </c>
      <c r="H33" s="15">
        <v>12123</v>
      </c>
      <c r="I33" s="15">
        <v>5752</v>
      </c>
    </row>
    <row r="34" spans="1:9" x14ac:dyDescent="0.35">
      <c r="A34" t="s">
        <v>520</v>
      </c>
      <c r="B34">
        <v>2919</v>
      </c>
      <c r="C34">
        <v>7471</v>
      </c>
      <c r="D34">
        <v>7346</v>
      </c>
      <c r="E34">
        <v>1001</v>
      </c>
      <c r="F34" s="15">
        <v>3281</v>
      </c>
      <c r="G34" s="15">
        <v>7365.5</v>
      </c>
      <c r="H34" s="15">
        <v>13844</v>
      </c>
      <c r="I34" s="15">
        <v>7034</v>
      </c>
    </row>
    <row r="35" spans="1:9" x14ac:dyDescent="0.35">
      <c r="A35" t="s">
        <v>521</v>
      </c>
      <c r="D35">
        <v>20155</v>
      </c>
      <c r="E35">
        <v>7654</v>
      </c>
      <c r="F35" s="15">
        <v>3643</v>
      </c>
      <c r="G35" s="15">
        <v>9941</v>
      </c>
      <c r="H35" s="15">
        <v>12262.5</v>
      </c>
      <c r="I35" s="15">
        <v>10050.5</v>
      </c>
    </row>
    <row r="36" spans="1:9" x14ac:dyDescent="0.35">
      <c r="A36" t="s">
        <v>181</v>
      </c>
      <c r="B36">
        <v>3643</v>
      </c>
      <c r="C36">
        <v>7260</v>
      </c>
      <c r="D36">
        <v>11789</v>
      </c>
      <c r="F36" s="15">
        <v>7555.5</v>
      </c>
      <c r="G36" s="15">
        <v>8327.6666666666661</v>
      </c>
      <c r="H36" s="15">
        <v>7546.25</v>
      </c>
      <c r="I36" s="15">
        <v>12447</v>
      </c>
    </row>
    <row r="37" spans="1:9" x14ac:dyDescent="0.35">
      <c r="A37" t="s">
        <v>522</v>
      </c>
      <c r="D37">
        <v>16086</v>
      </c>
      <c r="E37">
        <v>12447</v>
      </c>
      <c r="F37" s="15">
        <v>13277.5</v>
      </c>
      <c r="G37" s="15">
        <v>8861.5</v>
      </c>
      <c r="H37" s="15">
        <v>6132</v>
      </c>
      <c r="I37" s="15">
        <v>13903</v>
      </c>
    </row>
    <row r="38" spans="1:9" x14ac:dyDescent="0.35">
      <c r="A38" t="s">
        <v>439</v>
      </c>
      <c r="C38">
        <v>12622</v>
      </c>
      <c r="D38">
        <v>1020</v>
      </c>
      <c r="F38" s="15">
        <v>13277.5</v>
      </c>
      <c r="G38" s="15">
        <v>8385</v>
      </c>
      <c r="H38" s="15">
        <v>2878.6666666666665</v>
      </c>
      <c r="I38" s="15">
        <v>10995</v>
      </c>
    </row>
    <row r="39" spans="1:9" x14ac:dyDescent="0.35">
      <c r="A39" t="s">
        <v>101</v>
      </c>
      <c r="B39">
        <v>11468</v>
      </c>
      <c r="C39">
        <v>5101</v>
      </c>
      <c r="D39">
        <v>1290</v>
      </c>
      <c r="F39" s="15">
        <v>9849.6666666666661</v>
      </c>
      <c r="G39" s="15">
        <v>5022.666666666667</v>
      </c>
      <c r="H39" s="15">
        <v>5446.333333333333</v>
      </c>
      <c r="I39" s="15">
        <v>8515</v>
      </c>
    </row>
    <row r="40" spans="1:9" x14ac:dyDescent="0.35">
      <c r="A40" t="s">
        <v>114</v>
      </c>
      <c r="B40">
        <v>15087</v>
      </c>
      <c r="E40">
        <v>15359</v>
      </c>
      <c r="F40" s="15">
        <v>8791</v>
      </c>
      <c r="G40" s="15">
        <v>9898.3333333333339</v>
      </c>
      <c r="H40" s="15">
        <v>7524.5</v>
      </c>
      <c r="I40" s="15">
        <v>8515</v>
      </c>
    </row>
    <row r="41" spans="1:9" x14ac:dyDescent="0.35">
      <c r="A41" t="s">
        <v>158</v>
      </c>
      <c r="C41">
        <v>7432</v>
      </c>
      <c r="D41">
        <v>6326</v>
      </c>
      <c r="E41">
        <v>6631</v>
      </c>
      <c r="F41" s="15">
        <v>5643</v>
      </c>
      <c r="G41" s="15">
        <v>12730.5</v>
      </c>
      <c r="H41" s="15">
        <v>7524.5</v>
      </c>
      <c r="I41" s="15">
        <v>4791.666666666667</v>
      </c>
    </row>
    <row r="42" spans="1:9" x14ac:dyDescent="0.35">
      <c r="A42" t="s">
        <v>523</v>
      </c>
      <c r="B42">
        <v>2994</v>
      </c>
      <c r="C42">
        <v>2535</v>
      </c>
      <c r="D42">
        <v>8723</v>
      </c>
      <c r="E42">
        <v>3555</v>
      </c>
      <c r="F42" s="15">
        <v>5804.666666666667</v>
      </c>
      <c r="G42" s="15">
        <v>11287.5</v>
      </c>
      <c r="H42" s="15">
        <v>7497.5</v>
      </c>
      <c r="I42" s="15">
        <v>3103.6666666666665</v>
      </c>
    </row>
    <row r="43" spans="1:9" x14ac:dyDescent="0.35">
      <c r="A43" t="s">
        <v>524</v>
      </c>
      <c r="B43">
        <v>8292</v>
      </c>
      <c r="C43">
        <v>19728</v>
      </c>
      <c r="F43" s="15">
        <v>5281.666666666667</v>
      </c>
      <c r="G43" s="15">
        <v>11789.25</v>
      </c>
      <c r="H43" s="15">
        <v>7295.5</v>
      </c>
      <c r="I43" s="15">
        <v>4063.3333333333335</v>
      </c>
    </row>
    <row r="44" spans="1:9" x14ac:dyDescent="0.35">
      <c r="A44" t="s">
        <v>340</v>
      </c>
      <c r="C44">
        <v>21227</v>
      </c>
      <c r="E44">
        <v>4189</v>
      </c>
      <c r="F44" s="15">
        <v>3776.5</v>
      </c>
      <c r="G44" s="15">
        <v>13106</v>
      </c>
      <c r="H44" s="15">
        <v>7295.5</v>
      </c>
      <c r="I44" s="15">
        <v>4063.3333333333335</v>
      </c>
    </row>
    <row r="45" spans="1:9" x14ac:dyDescent="0.35">
      <c r="A45" t="s">
        <v>525</v>
      </c>
      <c r="B45">
        <v>6128</v>
      </c>
      <c r="C45">
        <v>1660</v>
      </c>
      <c r="D45">
        <v>6272</v>
      </c>
      <c r="E45">
        <v>1567</v>
      </c>
      <c r="F45" s="15">
        <v>7521.666666666667</v>
      </c>
      <c r="G45" s="15">
        <v>10399</v>
      </c>
      <c r="H45" s="15">
        <v>7216.333333333333</v>
      </c>
      <c r="I45" s="15">
        <v>4000.5</v>
      </c>
    </row>
    <row r="46" spans="1:9" x14ac:dyDescent="0.35">
      <c r="A46" t="s">
        <v>355</v>
      </c>
      <c r="B46">
        <v>1425</v>
      </c>
      <c r="C46">
        <v>4542</v>
      </c>
      <c r="D46">
        <v>8319</v>
      </c>
      <c r="E46">
        <v>6434</v>
      </c>
      <c r="F46" s="15">
        <v>8218.5</v>
      </c>
      <c r="G46" s="15">
        <v>10349.666666666666</v>
      </c>
      <c r="H46" s="15">
        <v>10438</v>
      </c>
      <c r="I46" s="15">
        <v>6434</v>
      </c>
    </row>
    <row r="47" spans="1:9" x14ac:dyDescent="0.35">
      <c r="A47" t="s">
        <v>526</v>
      </c>
      <c r="C47">
        <v>24995</v>
      </c>
      <c r="F47" s="15">
        <v>11485.5</v>
      </c>
      <c r="G47" s="15">
        <v>9822.3333333333339</v>
      </c>
      <c r="H47" s="15">
        <v>11497.5</v>
      </c>
      <c r="I47" s="15">
        <v>5210</v>
      </c>
    </row>
    <row r="48" spans="1:9" x14ac:dyDescent="0.35">
      <c r="A48" t="s">
        <v>527</v>
      </c>
      <c r="B48">
        <v>15012</v>
      </c>
      <c r="D48">
        <v>7058</v>
      </c>
      <c r="F48" s="15">
        <v>8592</v>
      </c>
      <c r="G48" s="15">
        <v>4206</v>
      </c>
      <c r="H48" s="15">
        <v>10143.666666666666</v>
      </c>
      <c r="I48" s="15">
        <v>5210</v>
      </c>
    </row>
    <row r="49" spans="1:9" x14ac:dyDescent="0.35">
      <c r="A49" t="s">
        <v>313</v>
      </c>
      <c r="C49">
        <v>1512</v>
      </c>
      <c r="D49">
        <v>15937</v>
      </c>
      <c r="F49" s="15">
        <v>5382</v>
      </c>
      <c r="G49" s="15">
        <v>4206</v>
      </c>
      <c r="H49" s="15">
        <v>11686.5</v>
      </c>
      <c r="I49" s="15">
        <v>5210</v>
      </c>
    </row>
    <row r="50" spans="1:9" x14ac:dyDescent="0.35">
      <c r="A50" t="s">
        <v>61</v>
      </c>
      <c r="B50">
        <v>7959</v>
      </c>
      <c r="C50">
        <v>2960</v>
      </c>
      <c r="E50">
        <v>5210</v>
      </c>
      <c r="F50" s="15">
        <v>5382</v>
      </c>
      <c r="G50" s="15">
        <v>5553</v>
      </c>
      <c r="H50" s="15">
        <v>7436</v>
      </c>
      <c r="I50" s="15">
        <v>5210</v>
      </c>
    </row>
    <row r="51" spans="1:9" x14ac:dyDescent="0.35">
      <c r="A51" t="s">
        <v>24</v>
      </c>
      <c r="B51">
        <v>2805</v>
      </c>
      <c r="C51">
        <v>8146</v>
      </c>
      <c r="D51">
        <v>7436</v>
      </c>
      <c r="F51" s="15">
        <v>2805</v>
      </c>
      <c r="G51" s="15">
        <v>8146</v>
      </c>
      <c r="H51" s="15">
        <v>7436</v>
      </c>
      <c r="I51" s="15" t="e">
        <v>#DIV/0!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06A2-C0F4-4234-9EDE-EFB9773FFC67}">
  <dimension ref="A1:B51"/>
  <sheetViews>
    <sheetView workbookViewId="0">
      <selection activeCell="O13" sqref="O13"/>
    </sheetView>
  </sheetViews>
  <sheetFormatPr defaultRowHeight="14.5" x14ac:dyDescent="0.35"/>
  <sheetData>
    <row r="1" spans="1:2" x14ac:dyDescent="0.35">
      <c r="A1" t="s">
        <v>617</v>
      </c>
      <c r="B1" t="s">
        <v>613</v>
      </c>
    </row>
    <row r="2" spans="1:2" x14ac:dyDescent="0.35">
      <c r="A2">
        <v>27203</v>
      </c>
      <c r="B2">
        <v>138117</v>
      </c>
    </row>
    <row r="3" spans="1:2" x14ac:dyDescent="0.35">
      <c r="A3">
        <v>23062</v>
      </c>
      <c r="B3">
        <v>150962</v>
      </c>
    </row>
    <row r="4" spans="1:2" x14ac:dyDescent="0.35">
      <c r="A4">
        <v>25931</v>
      </c>
      <c r="B4">
        <v>98040</v>
      </c>
    </row>
    <row r="5" spans="1:2" x14ac:dyDescent="0.35">
      <c r="A5">
        <v>28622</v>
      </c>
      <c r="B5">
        <v>164565</v>
      </c>
    </row>
    <row r="6" spans="1:2" x14ac:dyDescent="0.35">
      <c r="A6">
        <v>19833</v>
      </c>
      <c r="B6">
        <v>156343</v>
      </c>
    </row>
    <row r="7" spans="1:2" x14ac:dyDescent="0.35">
      <c r="A7">
        <v>18529</v>
      </c>
      <c r="B7">
        <v>111798</v>
      </c>
    </row>
    <row r="8" spans="1:2" x14ac:dyDescent="0.35">
      <c r="A8">
        <v>13885</v>
      </c>
      <c r="B8">
        <v>96330</v>
      </c>
    </row>
    <row r="9" spans="1:2" x14ac:dyDescent="0.35">
      <c r="A9">
        <v>32218</v>
      </c>
      <c r="B9">
        <v>165690</v>
      </c>
    </row>
    <row r="10" spans="1:2" x14ac:dyDescent="0.35">
      <c r="A10">
        <v>17021</v>
      </c>
      <c r="B10">
        <v>149979</v>
      </c>
    </row>
    <row r="11" spans="1:2" x14ac:dyDescent="0.35">
      <c r="A11">
        <v>14100</v>
      </c>
      <c r="B11">
        <v>137738</v>
      </c>
    </row>
    <row r="12" spans="1:2" x14ac:dyDescent="0.35">
      <c r="A12">
        <v>26686</v>
      </c>
      <c r="B12">
        <v>127141</v>
      </c>
    </row>
    <row r="13" spans="1:2" x14ac:dyDescent="0.35">
      <c r="A13">
        <v>23262</v>
      </c>
      <c r="B13">
        <v>131436</v>
      </c>
    </row>
    <row r="14" spans="1:2" x14ac:dyDescent="0.35">
      <c r="A14">
        <v>20800</v>
      </c>
      <c r="B14">
        <v>148731</v>
      </c>
    </row>
    <row r="15" spans="1:2" x14ac:dyDescent="0.35">
      <c r="A15">
        <v>22217</v>
      </c>
      <c r="B15">
        <v>138157</v>
      </c>
    </row>
    <row r="16" spans="1:2" x14ac:dyDescent="0.35">
      <c r="A16">
        <v>25176</v>
      </c>
      <c r="B16">
        <v>145141</v>
      </c>
    </row>
    <row r="17" spans="1:2" x14ac:dyDescent="0.35">
      <c r="A17">
        <v>15432</v>
      </c>
      <c r="B17">
        <v>157040</v>
      </c>
    </row>
    <row r="18" spans="1:2" x14ac:dyDescent="0.35">
      <c r="A18">
        <v>17982</v>
      </c>
      <c r="B18">
        <v>144544</v>
      </c>
    </row>
    <row r="19" spans="1:2" x14ac:dyDescent="0.35">
      <c r="A19">
        <v>18434</v>
      </c>
      <c r="B19">
        <v>91299</v>
      </c>
    </row>
    <row r="20" spans="1:2" x14ac:dyDescent="0.35">
      <c r="A20">
        <v>17577</v>
      </c>
      <c r="B20">
        <v>128380</v>
      </c>
    </row>
    <row r="21" spans="1:2" x14ac:dyDescent="0.35">
      <c r="A21">
        <v>23371</v>
      </c>
      <c r="B21">
        <v>147981</v>
      </c>
    </row>
    <row r="22" spans="1:2" x14ac:dyDescent="0.35">
      <c r="A22">
        <v>30891</v>
      </c>
      <c r="B22">
        <v>121620</v>
      </c>
    </row>
    <row r="23" spans="1:2" x14ac:dyDescent="0.35">
      <c r="A23">
        <v>27254</v>
      </c>
      <c r="B23">
        <v>181563</v>
      </c>
    </row>
    <row r="24" spans="1:2" x14ac:dyDescent="0.35">
      <c r="A24">
        <v>16685</v>
      </c>
      <c r="B24">
        <v>153596</v>
      </c>
    </row>
    <row r="25" spans="1:2" x14ac:dyDescent="0.35">
      <c r="A25">
        <v>19751</v>
      </c>
      <c r="B25">
        <v>167636</v>
      </c>
    </row>
    <row r="26" spans="1:2" x14ac:dyDescent="0.35">
      <c r="A26">
        <v>21238</v>
      </c>
      <c r="B26">
        <v>123864</v>
      </c>
    </row>
    <row r="27" spans="1:2" x14ac:dyDescent="0.35">
      <c r="A27">
        <v>28625</v>
      </c>
      <c r="B27">
        <v>196685</v>
      </c>
    </row>
    <row r="28" spans="1:2" x14ac:dyDescent="0.35">
      <c r="A28">
        <v>18330</v>
      </c>
      <c r="B28">
        <v>157140</v>
      </c>
    </row>
    <row r="29" spans="1:2" x14ac:dyDescent="0.35">
      <c r="A29">
        <v>15842</v>
      </c>
      <c r="B29">
        <v>125132</v>
      </c>
    </row>
    <row r="30" spans="1:2" x14ac:dyDescent="0.35">
      <c r="A30">
        <v>19604</v>
      </c>
      <c r="B30">
        <v>104342</v>
      </c>
    </row>
    <row r="31" spans="1:2" x14ac:dyDescent="0.35">
      <c r="A31">
        <v>19183</v>
      </c>
      <c r="B31">
        <v>142650</v>
      </c>
    </row>
    <row r="32" spans="1:2" x14ac:dyDescent="0.35">
      <c r="A32">
        <v>23870</v>
      </c>
      <c r="B32">
        <v>158939</v>
      </c>
    </row>
    <row r="33" spans="1:2" x14ac:dyDescent="0.35">
      <c r="A33">
        <v>27057</v>
      </c>
      <c r="B33">
        <v>163934</v>
      </c>
    </row>
    <row r="34" spans="1:2" x14ac:dyDescent="0.35">
      <c r="A34">
        <v>18737</v>
      </c>
      <c r="B34">
        <v>92334</v>
      </c>
    </row>
    <row r="35" spans="1:2" x14ac:dyDescent="0.35">
      <c r="A35">
        <v>27809</v>
      </c>
      <c r="B35">
        <v>143317</v>
      </c>
    </row>
    <row r="36" spans="1:2" x14ac:dyDescent="0.35">
      <c r="A36">
        <v>22692</v>
      </c>
      <c r="B36">
        <v>148558</v>
      </c>
    </row>
    <row r="37" spans="1:2" x14ac:dyDescent="0.35">
      <c r="A37">
        <v>28533</v>
      </c>
      <c r="B37">
        <v>71040</v>
      </c>
    </row>
    <row r="38" spans="1:2" x14ac:dyDescent="0.35">
      <c r="A38">
        <v>13642</v>
      </c>
      <c r="B38">
        <v>125547</v>
      </c>
    </row>
    <row r="39" spans="1:2" x14ac:dyDescent="0.35">
      <c r="A39">
        <v>17859</v>
      </c>
      <c r="B39">
        <v>123142</v>
      </c>
    </row>
    <row r="40" spans="1:2" x14ac:dyDescent="0.35">
      <c r="A40">
        <v>30446</v>
      </c>
      <c r="B40">
        <v>122105</v>
      </c>
    </row>
    <row r="41" spans="1:2" x14ac:dyDescent="0.35">
      <c r="A41">
        <v>20389</v>
      </c>
      <c r="B41">
        <v>117742</v>
      </c>
    </row>
    <row r="42" spans="1:2" x14ac:dyDescent="0.35">
      <c r="A42">
        <v>17807</v>
      </c>
      <c r="B42">
        <v>120558</v>
      </c>
    </row>
    <row r="43" spans="1:2" x14ac:dyDescent="0.35">
      <c r="A43">
        <v>28020</v>
      </c>
      <c r="B43">
        <v>195013</v>
      </c>
    </row>
    <row r="44" spans="1:2" x14ac:dyDescent="0.35">
      <c r="A44">
        <v>25416</v>
      </c>
      <c r="B44">
        <v>119089</v>
      </c>
    </row>
    <row r="45" spans="1:2" x14ac:dyDescent="0.35">
      <c r="A45">
        <v>15627</v>
      </c>
      <c r="B45">
        <v>160200</v>
      </c>
    </row>
    <row r="46" spans="1:2" x14ac:dyDescent="0.35">
      <c r="A46">
        <v>20720</v>
      </c>
      <c r="B46">
        <v>156785</v>
      </c>
    </row>
    <row r="47" spans="1:2" x14ac:dyDescent="0.35">
      <c r="A47">
        <v>24995</v>
      </c>
      <c r="B47">
        <v>143397</v>
      </c>
    </row>
    <row r="48" spans="1:2" x14ac:dyDescent="0.35">
      <c r="A48">
        <v>22070</v>
      </c>
      <c r="B48">
        <v>143322</v>
      </c>
    </row>
    <row r="49" spans="1:2" x14ac:dyDescent="0.35">
      <c r="A49">
        <v>17449</v>
      </c>
      <c r="B49">
        <v>130305</v>
      </c>
    </row>
    <row r="50" spans="1:2" x14ac:dyDescent="0.35">
      <c r="A50">
        <v>16129</v>
      </c>
      <c r="B50">
        <v>134696</v>
      </c>
    </row>
    <row r="51" spans="1:2" x14ac:dyDescent="0.35">
      <c r="A51">
        <v>18387</v>
      </c>
      <c r="B51">
        <v>153197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0A6E-8EDD-4C24-8351-133A88EEF648}">
  <dimension ref="A1:B6"/>
  <sheetViews>
    <sheetView workbookViewId="0"/>
  </sheetViews>
  <sheetFormatPr defaultRowHeight="14.5" x14ac:dyDescent="0.35"/>
  <cols>
    <col min="1" max="1" width="12.36328125" bestFit="1" customWidth="1"/>
    <col min="2" max="2" width="10.08984375" bestFit="1" customWidth="1"/>
  </cols>
  <sheetData>
    <row r="1" spans="1:2" x14ac:dyDescent="0.35">
      <c r="A1" s="13" t="s">
        <v>559</v>
      </c>
      <c r="B1" t="s">
        <v>611</v>
      </c>
    </row>
    <row r="2" spans="1:2" x14ac:dyDescent="0.35">
      <c r="A2" s="14" t="s">
        <v>23</v>
      </c>
      <c r="B2" s="15">
        <v>11586.753628568333</v>
      </c>
    </row>
    <row r="3" spans="1:2" x14ac:dyDescent="0.35">
      <c r="A3" s="14" t="s">
        <v>19</v>
      </c>
      <c r="B3" s="15">
        <v>16142.628579172495</v>
      </c>
    </row>
    <row r="4" spans="1:2" x14ac:dyDescent="0.35">
      <c r="A4" s="14" t="s">
        <v>46</v>
      </c>
      <c r="B4" s="15">
        <v>14152.261089411253</v>
      </c>
    </row>
    <row r="5" spans="1:2" x14ac:dyDescent="0.35">
      <c r="A5" s="14" t="s">
        <v>13</v>
      </c>
      <c r="B5" s="15">
        <v>14512.807422161688</v>
      </c>
    </row>
    <row r="6" spans="1:2" x14ac:dyDescent="0.35">
      <c r="A6" s="14" t="s">
        <v>560</v>
      </c>
      <c r="B6" s="15">
        <v>56394.450719313769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496E-CE42-4A46-B9F5-866D33BDDF34}">
  <dimension ref="A1:C52"/>
  <sheetViews>
    <sheetView tabSelected="1" workbookViewId="0">
      <selection activeCell="D8" sqref="D8"/>
    </sheetView>
  </sheetViews>
  <sheetFormatPr defaultRowHeight="14.5" x14ac:dyDescent="0.35"/>
  <cols>
    <col min="1" max="1" width="12.36328125" bestFit="1" customWidth="1"/>
    <col min="2" max="2" width="20.54296875" bestFit="1" customWidth="1"/>
    <col min="3" max="3" width="15.54296875" bestFit="1" customWidth="1"/>
  </cols>
  <sheetData>
    <row r="1" spans="1:3" x14ac:dyDescent="0.35">
      <c r="A1" s="13" t="s">
        <v>559</v>
      </c>
      <c r="B1" t="s">
        <v>585</v>
      </c>
      <c r="C1" t="s">
        <v>615</v>
      </c>
    </row>
    <row r="2" spans="1:3" x14ac:dyDescent="0.35">
      <c r="A2" s="14" t="s">
        <v>188</v>
      </c>
      <c r="B2">
        <v>461521</v>
      </c>
      <c r="C2">
        <v>3734</v>
      </c>
    </row>
    <row r="3" spans="1:3" x14ac:dyDescent="0.35">
      <c r="A3" s="14" t="s">
        <v>201</v>
      </c>
      <c r="B3">
        <v>573409</v>
      </c>
      <c r="C3">
        <v>1864</v>
      </c>
    </row>
    <row r="4" spans="1:3" x14ac:dyDescent="0.35">
      <c r="A4" s="14" t="s">
        <v>126</v>
      </c>
      <c r="B4">
        <v>668221</v>
      </c>
      <c r="C4">
        <v>3102</v>
      </c>
    </row>
    <row r="5" spans="1:3" x14ac:dyDescent="0.35">
      <c r="A5" s="14" t="s">
        <v>37</v>
      </c>
      <c r="B5">
        <v>777791</v>
      </c>
      <c r="C5">
        <v>2808</v>
      </c>
    </row>
    <row r="6" spans="1:3" x14ac:dyDescent="0.35">
      <c r="A6" s="14" t="s">
        <v>395</v>
      </c>
      <c r="B6">
        <v>875559</v>
      </c>
      <c r="C6">
        <v>2003</v>
      </c>
    </row>
    <row r="7" spans="1:3" x14ac:dyDescent="0.35">
      <c r="A7" s="14" t="s">
        <v>510</v>
      </c>
      <c r="B7">
        <v>948658</v>
      </c>
      <c r="C7">
        <v>1865</v>
      </c>
    </row>
    <row r="8" spans="1:3" x14ac:dyDescent="0.35">
      <c r="A8" s="14" t="s">
        <v>266</v>
      </c>
      <c r="B8">
        <v>1013373</v>
      </c>
      <c r="C8">
        <v>1715</v>
      </c>
    </row>
    <row r="9" spans="1:3" x14ac:dyDescent="0.35">
      <c r="A9" s="14" t="s">
        <v>511</v>
      </c>
      <c r="B9">
        <v>1106205</v>
      </c>
      <c r="C9">
        <v>3002</v>
      </c>
    </row>
    <row r="10" spans="1:3" x14ac:dyDescent="0.35">
      <c r="A10" s="14" t="s">
        <v>221</v>
      </c>
      <c r="B10">
        <v>1194413</v>
      </c>
      <c r="C10">
        <v>2584</v>
      </c>
    </row>
    <row r="11" spans="1:3" x14ac:dyDescent="0.35">
      <c r="A11" s="14" t="s">
        <v>437</v>
      </c>
      <c r="B11">
        <v>1258492</v>
      </c>
      <c r="C11">
        <v>1346</v>
      </c>
    </row>
    <row r="12" spans="1:3" x14ac:dyDescent="0.35">
      <c r="A12" s="14" t="s">
        <v>29</v>
      </c>
      <c r="B12">
        <v>1346426</v>
      </c>
      <c r="C12">
        <v>2687</v>
      </c>
    </row>
    <row r="13" spans="1:3" x14ac:dyDescent="0.35">
      <c r="A13" s="14" t="s">
        <v>64</v>
      </c>
      <c r="B13">
        <v>1449439</v>
      </c>
      <c r="C13">
        <v>2338</v>
      </c>
    </row>
    <row r="14" spans="1:3" x14ac:dyDescent="0.35">
      <c r="A14" s="14" t="s">
        <v>59</v>
      </c>
      <c r="B14">
        <v>1526484</v>
      </c>
      <c r="C14">
        <v>2790</v>
      </c>
    </row>
    <row r="15" spans="1:3" x14ac:dyDescent="0.35">
      <c r="A15" s="14" t="s">
        <v>156</v>
      </c>
      <c r="B15">
        <v>1613730</v>
      </c>
      <c r="C15">
        <v>3407</v>
      </c>
    </row>
    <row r="16" spans="1:3" x14ac:dyDescent="0.35">
      <c r="A16" s="14" t="s">
        <v>68</v>
      </c>
      <c r="B16">
        <v>1721709</v>
      </c>
      <c r="C16">
        <v>1840</v>
      </c>
    </row>
    <row r="17" spans="1:3" x14ac:dyDescent="0.35">
      <c r="A17" s="14" t="s">
        <v>512</v>
      </c>
      <c r="B17">
        <v>1797766</v>
      </c>
      <c r="C17">
        <v>1573</v>
      </c>
    </row>
    <row r="18" spans="1:3" x14ac:dyDescent="0.35">
      <c r="A18" s="14" t="s">
        <v>513</v>
      </c>
      <c r="B18">
        <v>1851728</v>
      </c>
      <c r="C18">
        <v>2113</v>
      </c>
    </row>
    <row r="19" spans="1:3" x14ac:dyDescent="0.35">
      <c r="A19" s="14" t="s">
        <v>514</v>
      </c>
      <c r="B19">
        <v>1944292</v>
      </c>
      <c r="C19">
        <v>1940</v>
      </c>
    </row>
    <row r="20" spans="1:3" x14ac:dyDescent="0.35">
      <c r="A20" s="14" t="s">
        <v>515</v>
      </c>
      <c r="B20">
        <v>2002961</v>
      </c>
      <c r="C20">
        <v>2309</v>
      </c>
    </row>
    <row r="21" spans="1:3" x14ac:dyDescent="0.35">
      <c r="A21" s="14" t="s">
        <v>516</v>
      </c>
      <c r="B21">
        <v>2095793</v>
      </c>
      <c r="C21">
        <v>2205</v>
      </c>
    </row>
    <row r="22" spans="1:3" x14ac:dyDescent="0.35">
      <c r="A22" s="14" t="s">
        <v>130</v>
      </c>
      <c r="B22">
        <v>2200707</v>
      </c>
      <c r="C22">
        <v>3291</v>
      </c>
    </row>
    <row r="23" spans="1:3" x14ac:dyDescent="0.35">
      <c r="A23" s="14" t="s">
        <v>161</v>
      </c>
      <c r="B23">
        <v>2313957</v>
      </c>
      <c r="C23">
        <v>3084</v>
      </c>
    </row>
    <row r="24" spans="1:3" x14ac:dyDescent="0.35">
      <c r="A24" s="14" t="s">
        <v>233</v>
      </c>
      <c r="B24">
        <v>2407337</v>
      </c>
      <c r="C24">
        <v>2019</v>
      </c>
    </row>
    <row r="25" spans="1:3" x14ac:dyDescent="0.35">
      <c r="A25" s="14" t="s">
        <v>517</v>
      </c>
      <c r="B25">
        <v>2469632</v>
      </c>
      <c r="C25">
        <v>2455</v>
      </c>
    </row>
    <row r="26" spans="1:3" x14ac:dyDescent="0.35">
      <c r="A26" s="14" t="s">
        <v>54</v>
      </c>
      <c r="B26">
        <v>2556491</v>
      </c>
      <c r="C26">
        <v>1838</v>
      </c>
    </row>
    <row r="27" spans="1:3" x14ac:dyDescent="0.35">
      <c r="A27" s="14" t="s">
        <v>452</v>
      </c>
      <c r="B27">
        <v>2663769</v>
      </c>
      <c r="C27">
        <v>2619</v>
      </c>
    </row>
    <row r="28" spans="1:3" x14ac:dyDescent="0.35">
      <c r="A28" s="14" t="s">
        <v>518</v>
      </c>
      <c r="B28">
        <v>2744011</v>
      </c>
      <c r="C28">
        <v>1989</v>
      </c>
    </row>
    <row r="29" spans="1:3" x14ac:dyDescent="0.35">
      <c r="A29" s="14" t="s">
        <v>178</v>
      </c>
      <c r="B29">
        <v>2823940</v>
      </c>
      <c r="C29">
        <v>1210</v>
      </c>
    </row>
    <row r="30" spans="1:3" x14ac:dyDescent="0.35">
      <c r="A30" s="14" t="s">
        <v>89</v>
      </c>
      <c r="B30">
        <v>2881155</v>
      </c>
      <c r="C30">
        <v>2867</v>
      </c>
    </row>
    <row r="31" spans="1:3" x14ac:dyDescent="0.35">
      <c r="A31" s="14" t="s">
        <v>14</v>
      </c>
      <c r="B31">
        <v>2956330</v>
      </c>
      <c r="C31">
        <v>2368</v>
      </c>
    </row>
    <row r="32" spans="1:3" x14ac:dyDescent="0.35">
      <c r="A32" s="14" t="s">
        <v>519</v>
      </c>
      <c r="B32">
        <v>3060251</v>
      </c>
      <c r="C32">
        <v>2862</v>
      </c>
    </row>
    <row r="33" spans="1:3" x14ac:dyDescent="0.35">
      <c r="A33" s="14" t="s">
        <v>99</v>
      </c>
      <c r="B33">
        <v>3169212</v>
      </c>
      <c r="C33">
        <v>3055</v>
      </c>
    </row>
    <row r="34" spans="1:3" x14ac:dyDescent="0.35">
      <c r="A34" s="14" t="s">
        <v>520</v>
      </c>
      <c r="B34">
        <v>3253018</v>
      </c>
      <c r="C34">
        <v>1545</v>
      </c>
    </row>
    <row r="35" spans="1:3" x14ac:dyDescent="0.35">
      <c r="A35" s="14" t="s">
        <v>521</v>
      </c>
      <c r="B35">
        <v>3346053</v>
      </c>
      <c r="C35">
        <v>2636</v>
      </c>
    </row>
    <row r="36" spans="1:3" x14ac:dyDescent="0.35">
      <c r="A36" s="14" t="s">
        <v>181</v>
      </c>
      <c r="B36">
        <v>3447490</v>
      </c>
      <c r="C36">
        <v>2832</v>
      </c>
    </row>
    <row r="37" spans="1:3" x14ac:dyDescent="0.35">
      <c r="A37" s="14" t="s">
        <v>522</v>
      </c>
      <c r="B37">
        <v>3540482</v>
      </c>
      <c r="C37">
        <v>2960</v>
      </c>
    </row>
    <row r="38" spans="1:3" x14ac:dyDescent="0.35">
      <c r="A38" s="14" t="s">
        <v>439</v>
      </c>
      <c r="B38">
        <v>3619740</v>
      </c>
      <c r="C38">
        <v>1304</v>
      </c>
    </row>
    <row r="39" spans="1:3" x14ac:dyDescent="0.35">
      <c r="A39" s="14" t="s">
        <v>101</v>
      </c>
      <c r="B39">
        <v>3681706</v>
      </c>
      <c r="C39">
        <v>1877</v>
      </c>
    </row>
    <row r="40" spans="1:3" x14ac:dyDescent="0.35">
      <c r="A40" s="14" t="s">
        <v>114</v>
      </c>
      <c r="B40">
        <v>3797931</v>
      </c>
      <c r="C40">
        <v>3204</v>
      </c>
    </row>
    <row r="41" spans="1:3" x14ac:dyDescent="0.35">
      <c r="A41" s="14" t="s">
        <v>158</v>
      </c>
      <c r="B41">
        <v>3894783</v>
      </c>
      <c r="C41">
        <v>2711</v>
      </c>
    </row>
    <row r="42" spans="1:3" x14ac:dyDescent="0.35">
      <c r="A42" s="14" t="s">
        <v>523</v>
      </c>
      <c r="B42">
        <v>3972631</v>
      </c>
      <c r="C42">
        <v>1956</v>
      </c>
    </row>
    <row r="43" spans="1:3" x14ac:dyDescent="0.35">
      <c r="A43" s="14" t="s">
        <v>524</v>
      </c>
      <c r="B43">
        <v>4062323</v>
      </c>
      <c r="C43">
        <v>2723</v>
      </c>
    </row>
    <row r="44" spans="1:3" x14ac:dyDescent="0.35">
      <c r="A44" s="14" t="s">
        <v>340</v>
      </c>
      <c r="B44">
        <v>4164853</v>
      </c>
      <c r="C44">
        <v>1931</v>
      </c>
    </row>
    <row r="45" spans="1:3" x14ac:dyDescent="0.35">
      <c r="A45" s="14" t="s">
        <v>525</v>
      </c>
      <c r="B45">
        <v>4252350</v>
      </c>
      <c r="C45">
        <v>1507</v>
      </c>
    </row>
    <row r="46" spans="1:3" x14ac:dyDescent="0.35">
      <c r="A46" s="14" t="s">
        <v>355</v>
      </c>
      <c r="B46">
        <v>4324017</v>
      </c>
      <c r="C46">
        <v>2801</v>
      </c>
    </row>
    <row r="47" spans="1:3" x14ac:dyDescent="0.35">
      <c r="A47" s="14" t="s">
        <v>526</v>
      </c>
      <c r="B47">
        <v>4415538</v>
      </c>
      <c r="C47">
        <v>2887</v>
      </c>
    </row>
    <row r="48" spans="1:3" x14ac:dyDescent="0.35">
      <c r="A48" s="14" t="s">
        <v>527</v>
      </c>
      <c r="B48">
        <v>4507903</v>
      </c>
      <c r="C48">
        <v>2727</v>
      </c>
    </row>
    <row r="49" spans="1:3" x14ac:dyDescent="0.35">
      <c r="A49" s="14" t="s">
        <v>313</v>
      </c>
      <c r="B49">
        <v>4573124</v>
      </c>
      <c r="C49">
        <v>1768</v>
      </c>
    </row>
    <row r="50" spans="1:3" x14ac:dyDescent="0.35">
      <c r="A50" s="14" t="s">
        <v>61</v>
      </c>
      <c r="B50">
        <v>4638823</v>
      </c>
      <c r="C50">
        <v>1737</v>
      </c>
    </row>
    <row r="51" spans="1:3" x14ac:dyDescent="0.35">
      <c r="A51" s="14" t="s">
        <v>24</v>
      </c>
      <c r="B51">
        <v>4714017</v>
      </c>
      <c r="C51">
        <v>2802</v>
      </c>
    </row>
    <row r="52" spans="1:3" x14ac:dyDescent="0.35">
      <c r="A52" s="14" t="s">
        <v>560</v>
      </c>
      <c r="B52">
        <v>130681544</v>
      </c>
      <c r="C52">
        <v>118790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341A-0154-433B-8486-9DEA97BABF79}">
  <dimension ref="A1:C53"/>
  <sheetViews>
    <sheetView workbookViewId="0">
      <selection activeCell="B1" sqref="B1:C51"/>
    </sheetView>
  </sheetViews>
  <sheetFormatPr defaultRowHeight="14.5" x14ac:dyDescent="0.35"/>
  <cols>
    <col min="1" max="1" width="12.36328125" bestFit="1" customWidth="1"/>
    <col min="2" max="2" width="18.453125" bestFit="1" customWidth="1"/>
    <col min="3" max="3" width="15.6328125" bestFit="1" customWidth="1"/>
  </cols>
  <sheetData>
    <row r="1" spans="1:3" x14ac:dyDescent="0.35">
      <c r="A1" s="13" t="s">
        <v>559</v>
      </c>
      <c r="B1" t="s">
        <v>617</v>
      </c>
      <c r="C1" t="s">
        <v>613</v>
      </c>
    </row>
    <row r="2" spans="1:3" x14ac:dyDescent="0.35">
      <c r="A2" s="14" t="s">
        <v>188</v>
      </c>
      <c r="B2">
        <v>27203</v>
      </c>
      <c r="C2">
        <v>138117</v>
      </c>
    </row>
    <row r="3" spans="1:3" x14ac:dyDescent="0.35">
      <c r="A3" s="14" t="s">
        <v>201</v>
      </c>
      <c r="B3">
        <v>23062</v>
      </c>
      <c r="C3">
        <v>150962</v>
      </c>
    </row>
    <row r="4" spans="1:3" x14ac:dyDescent="0.35">
      <c r="A4" s="14" t="s">
        <v>126</v>
      </c>
      <c r="B4">
        <v>25931</v>
      </c>
      <c r="C4">
        <v>98040</v>
      </c>
    </row>
    <row r="5" spans="1:3" x14ac:dyDescent="0.35">
      <c r="A5" s="14" t="s">
        <v>37</v>
      </c>
      <c r="B5">
        <v>28622</v>
      </c>
      <c r="C5">
        <v>164565</v>
      </c>
    </row>
    <row r="6" spans="1:3" x14ac:dyDescent="0.35">
      <c r="A6" s="14" t="s">
        <v>395</v>
      </c>
      <c r="B6">
        <v>19833</v>
      </c>
      <c r="C6">
        <v>156343</v>
      </c>
    </row>
    <row r="7" spans="1:3" x14ac:dyDescent="0.35">
      <c r="A7" s="14" t="s">
        <v>510</v>
      </c>
      <c r="B7">
        <v>18529</v>
      </c>
      <c r="C7">
        <v>111798</v>
      </c>
    </row>
    <row r="8" spans="1:3" x14ac:dyDescent="0.35">
      <c r="A8" s="14" t="s">
        <v>266</v>
      </c>
      <c r="B8">
        <v>13885</v>
      </c>
      <c r="C8">
        <v>96330</v>
      </c>
    </row>
    <row r="9" spans="1:3" x14ac:dyDescent="0.35">
      <c r="A9" s="14" t="s">
        <v>511</v>
      </c>
      <c r="B9">
        <v>32218</v>
      </c>
      <c r="C9">
        <v>165690</v>
      </c>
    </row>
    <row r="10" spans="1:3" x14ac:dyDescent="0.35">
      <c r="A10" s="14" t="s">
        <v>221</v>
      </c>
      <c r="B10">
        <v>17021</v>
      </c>
      <c r="C10">
        <v>149979</v>
      </c>
    </row>
    <row r="11" spans="1:3" x14ac:dyDescent="0.35">
      <c r="A11" s="14" t="s">
        <v>437</v>
      </c>
      <c r="B11">
        <v>14100</v>
      </c>
      <c r="C11">
        <v>137738</v>
      </c>
    </row>
    <row r="12" spans="1:3" x14ac:dyDescent="0.35">
      <c r="A12" s="14" t="s">
        <v>29</v>
      </c>
      <c r="B12">
        <v>26686</v>
      </c>
      <c r="C12">
        <v>127141</v>
      </c>
    </row>
    <row r="13" spans="1:3" x14ac:dyDescent="0.35">
      <c r="A13" s="14" t="s">
        <v>64</v>
      </c>
      <c r="B13">
        <v>23262</v>
      </c>
      <c r="C13">
        <v>131436</v>
      </c>
    </row>
    <row r="14" spans="1:3" x14ac:dyDescent="0.35">
      <c r="A14" s="14" t="s">
        <v>59</v>
      </c>
      <c r="B14">
        <v>20800</v>
      </c>
      <c r="C14">
        <v>148731</v>
      </c>
    </row>
    <row r="15" spans="1:3" x14ac:dyDescent="0.35">
      <c r="A15" s="14" t="s">
        <v>156</v>
      </c>
      <c r="B15">
        <v>22217</v>
      </c>
      <c r="C15">
        <v>138157</v>
      </c>
    </row>
    <row r="16" spans="1:3" x14ac:dyDescent="0.35">
      <c r="A16" s="14" t="s">
        <v>68</v>
      </c>
      <c r="B16">
        <v>25176</v>
      </c>
      <c r="C16">
        <v>145141</v>
      </c>
    </row>
    <row r="17" spans="1:3" x14ac:dyDescent="0.35">
      <c r="A17" s="14" t="s">
        <v>512</v>
      </c>
      <c r="B17">
        <v>15432</v>
      </c>
      <c r="C17">
        <v>157040</v>
      </c>
    </row>
    <row r="18" spans="1:3" x14ac:dyDescent="0.35">
      <c r="A18" s="14" t="s">
        <v>513</v>
      </c>
      <c r="B18">
        <v>17982</v>
      </c>
      <c r="C18">
        <v>144544</v>
      </c>
    </row>
    <row r="19" spans="1:3" x14ac:dyDescent="0.35">
      <c r="A19" s="14" t="s">
        <v>514</v>
      </c>
      <c r="B19">
        <v>18434</v>
      </c>
      <c r="C19">
        <v>91299</v>
      </c>
    </row>
    <row r="20" spans="1:3" x14ac:dyDescent="0.35">
      <c r="A20" s="14" t="s">
        <v>515</v>
      </c>
      <c r="B20">
        <v>17577</v>
      </c>
      <c r="C20">
        <v>128380</v>
      </c>
    </row>
    <row r="21" spans="1:3" x14ac:dyDescent="0.35">
      <c r="A21" s="14" t="s">
        <v>516</v>
      </c>
      <c r="B21">
        <v>23371</v>
      </c>
      <c r="C21">
        <v>147981</v>
      </c>
    </row>
    <row r="22" spans="1:3" x14ac:dyDescent="0.35">
      <c r="A22" s="14" t="s">
        <v>130</v>
      </c>
      <c r="B22">
        <v>30891</v>
      </c>
      <c r="C22">
        <v>121620</v>
      </c>
    </row>
    <row r="23" spans="1:3" x14ac:dyDescent="0.35">
      <c r="A23" s="14" t="s">
        <v>161</v>
      </c>
      <c r="B23">
        <v>27254</v>
      </c>
      <c r="C23">
        <v>181563</v>
      </c>
    </row>
    <row r="24" spans="1:3" x14ac:dyDescent="0.35">
      <c r="A24" s="14" t="s">
        <v>233</v>
      </c>
      <c r="B24">
        <v>16685</v>
      </c>
      <c r="C24">
        <v>153596</v>
      </c>
    </row>
    <row r="25" spans="1:3" x14ac:dyDescent="0.35">
      <c r="A25" s="14" t="s">
        <v>517</v>
      </c>
      <c r="B25">
        <v>19751</v>
      </c>
      <c r="C25">
        <v>167636</v>
      </c>
    </row>
    <row r="26" spans="1:3" x14ac:dyDescent="0.35">
      <c r="A26" s="14" t="s">
        <v>54</v>
      </c>
      <c r="B26">
        <v>21238</v>
      </c>
      <c r="C26">
        <v>123864</v>
      </c>
    </row>
    <row r="27" spans="1:3" x14ac:dyDescent="0.35">
      <c r="A27" s="14" t="s">
        <v>452</v>
      </c>
      <c r="B27">
        <v>28625</v>
      </c>
      <c r="C27">
        <v>196685</v>
      </c>
    </row>
    <row r="28" spans="1:3" x14ac:dyDescent="0.35">
      <c r="A28" s="14" t="s">
        <v>518</v>
      </c>
      <c r="B28">
        <v>18330</v>
      </c>
      <c r="C28">
        <v>157140</v>
      </c>
    </row>
    <row r="29" spans="1:3" x14ac:dyDescent="0.35">
      <c r="A29" s="14" t="s">
        <v>178</v>
      </c>
      <c r="B29">
        <v>15842</v>
      </c>
      <c r="C29">
        <v>125132</v>
      </c>
    </row>
    <row r="30" spans="1:3" x14ac:dyDescent="0.35">
      <c r="A30" s="14" t="s">
        <v>89</v>
      </c>
      <c r="B30">
        <v>19604</v>
      </c>
      <c r="C30">
        <v>104342</v>
      </c>
    </row>
    <row r="31" spans="1:3" x14ac:dyDescent="0.35">
      <c r="A31" s="14" t="s">
        <v>14</v>
      </c>
      <c r="B31">
        <v>19183</v>
      </c>
      <c r="C31">
        <v>142650</v>
      </c>
    </row>
    <row r="32" spans="1:3" x14ac:dyDescent="0.35">
      <c r="A32" s="14" t="s">
        <v>519</v>
      </c>
      <c r="B32">
        <v>23870</v>
      </c>
      <c r="C32">
        <v>158939</v>
      </c>
    </row>
    <row r="33" spans="1:3" x14ac:dyDescent="0.35">
      <c r="A33" s="14" t="s">
        <v>99</v>
      </c>
      <c r="B33">
        <v>27057</v>
      </c>
      <c r="C33">
        <v>163934</v>
      </c>
    </row>
    <row r="34" spans="1:3" x14ac:dyDescent="0.35">
      <c r="A34" s="14" t="s">
        <v>520</v>
      </c>
      <c r="B34">
        <v>18737</v>
      </c>
      <c r="C34">
        <v>92334</v>
      </c>
    </row>
    <row r="35" spans="1:3" x14ac:dyDescent="0.35">
      <c r="A35" s="14" t="s">
        <v>521</v>
      </c>
      <c r="B35">
        <v>27809</v>
      </c>
      <c r="C35">
        <v>143317</v>
      </c>
    </row>
    <row r="36" spans="1:3" x14ac:dyDescent="0.35">
      <c r="A36" s="14" t="s">
        <v>181</v>
      </c>
      <c r="B36">
        <v>22692</v>
      </c>
      <c r="C36">
        <v>148558</v>
      </c>
    </row>
    <row r="37" spans="1:3" x14ac:dyDescent="0.35">
      <c r="A37" s="14" t="s">
        <v>522</v>
      </c>
      <c r="B37">
        <v>28533</v>
      </c>
      <c r="C37">
        <v>71040</v>
      </c>
    </row>
    <row r="38" spans="1:3" x14ac:dyDescent="0.35">
      <c r="A38" s="14" t="s">
        <v>439</v>
      </c>
      <c r="B38">
        <v>13642</v>
      </c>
      <c r="C38">
        <v>125547</v>
      </c>
    </row>
    <row r="39" spans="1:3" x14ac:dyDescent="0.35">
      <c r="A39" s="14" t="s">
        <v>101</v>
      </c>
      <c r="B39">
        <v>17859</v>
      </c>
      <c r="C39">
        <v>123142</v>
      </c>
    </row>
    <row r="40" spans="1:3" x14ac:dyDescent="0.35">
      <c r="A40" s="14" t="s">
        <v>114</v>
      </c>
      <c r="B40">
        <v>30446</v>
      </c>
      <c r="C40">
        <v>122105</v>
      </c>
    </row>
    <row r="41" spans="1:3" x14ac:dyDescent="0.35">
      <c r="A41" s="14" t="s">
        <v>158</v>
      </c>
      <c r="B41">
        <v>20389</v>
      </c>
      <c r="C41">
        <v>117742</v>
      </c>
    </row>
    <row r="42" spans="1:3" x14ac:dyDescent="0.35">
      <c r="A42" s="14" t="s">
        <v>523</v>
      </c>
      <c r="B42">
        <v>17807</v>
      </c>
      <c r="C42">
        <v>120558</v>
      </c>
    </row>
    <row r="43" spans="1:3" x14ac:dyDescent="0.35">
      <c r="A43" s="14" t="s">
        <v>524</v>
      </c>
      <c r="B43">
        <v>28020</v>
      </c>
      <c r="C43">
        <v>195013</v>
      </c>
    </row>
    <row r="44" spans="1:3" x14ac:dyDescent="0.35">
      <c r="A44" s="14" t="s">
        <v>340</v>
      </c>
      <c r="B44">
        <v>25416</v>
      </c>
      <c r="C44">
        <v>119089</v>
      </c>
    </row>
    <row r="45" spans="1:3" x14ac:dyDescent="0.35">
      <c r="A45" s="14" t="s">
        <v>525</v>
      </c>
      <c r="B45">
        <v>15627</v>
      </c>
      <c r="C45">
        <v>160200</v>
      </c>
    </row>
    <row r="46" spans="1:3" x14ac:dyDescent="0.35">
      <c r="A46" s="14" t="s">
        <v>355</v>
      </c>
      <c r="B46">
        <v>20720</v>
      </c>
      <c r="C46">
        <v>156785</v>
      </c>
    </row>
    <row r="47" spans="1:3" x14ac:dyDescent="0.35">
      <c r="A47" s="14" t="s">
        <v>526</v>
      </c>
      <c r="B47">
        <v>24995</v>
      </c>
      <c r="C47">
        <v>143397</v>
      </c>
    </row>
    <row r="48" spans="1:3" x14ac:dyDescent="0.35">
      <c r="A48" s="14" t="s">
        <v>527</v>
      </c>
      <c r="B48">
        <v>22070</v>
      </c>
      <c r="C48">
        <v>143322</v>
      </c>
    </row>
    <row r="49" spans="1:3" x14ac:dyDescent="0.35">
      <c r="A49" s="14" t="s">
        <v>313</v>
      </c>
      <c r="B49">
        <v>17449</v>
      </c>
      <c r="C49">
        <v>130305</v>
      </c>
    </row>
    <row r="50" spans="1:3" x14ac:dyDescent="0.35">
      <c r="A50" s="14" t="s">
        <v>61</v>
      </c>
      <c r="B50">
        <v>16129</v>
      </c>
      <c r="C50">
        <v>134696</v>
      </c>
    </row>
    <row r="51" spans="1:3" x14ac:dyDescent="0.35">
      <c r="A51" s="14" t="s">
        <v>24</v>
      </c>
      <c r="B51">
        <v>18387</v>
      </c>
      <c r="C51">
        <v>153197</v>
      </c>
    </row>
    <row r="52" spans="1:3" x14ac:dyDescent="0.35">
      <c r="A52" s="14" t="s">
        <v>589</v>
      </c>
    </row>
    <row r="53" spans="1:3" x14ac:dyDescent="0.35">
      <c r="A53" s="14" t="s">
        <v>560</v>
      </c>
      <c r="B53">
        <v>1086398</v>
      </c>
      <c r="C53">
        <v>6926860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Posts</vt:lpstr>
      <vt:lpstr>Engagement Summary</vt:lpstr>
      <vt:lpstr>Campaign Metadata</vt:lpstr>
      <vt:lpstr>Top 10 posts with hih engageme</vt:lpstr>
      <vt:lpstr>Total likes,Share and comment</vt:lpstr>
      <vt:lpstr>Average clicks per post by Hash</vt:lpstr>
      <vt:lpstr>Platform with highest engagemen</vt:lpstr>
      <vt:lpstr>Folower Growth rate across plat</vt:lpstr>
      <vt:lpstr>Sum of Engagement Rate</vt:lpstr>
      <vt:lpstr>Comparative analysis</vt:lpstr>
      <vt:lpstr>Engagement vs ad spend as per p</vt:lpstr>
      <vt:lpstr>Frequently used hashtags</vt:lpstr>
      <vt:lpstr>average performance of posts</vt:lpstr>
      <vt:lpstr>Content Performance</vt:lpstr>
      <vt:lpstr>content type performs best</vt:lpstr>
      <vt:lpstr>content type performs best cont</vt:lpstr>
      <vt:lpstr>Total &amp; Average Impressions</vt:lpstr>
      <vt:lpstr>Analyse cost efficiency</vt:lpstr>
      <vt:lpstr>Find out highest ROI</vt:lpstr>
      <vt:lpstr>Weekly folower growth platform</vt:lpstr>
      <vt:lpstr>The peak of week of follower ga</vt:lpstr>
      <vt:lpstr>Use moving averages to smooth </vt:lpstr>
      <vt:lpstr>ads spend vs follower grow scat</vt:lpstr>
      <vt:lpstr>Sum of ROI</vt:lpstr>
      <vt:lpstr>Dum of total folowers and unfol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Shashank Mathur</cp:lastModifiedBy>
  <dcterms:modified xsi:type="dcterms:W3CDTF">2025-12-02T06:43:40Z</dcterms:modified>
</cp:coreProperties>
</file>